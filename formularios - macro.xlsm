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mployersolution-my.sharepoint.com/personal/santiago_betancur_vensure_com1/Documents/Desktop/auto/"/>
    </mc:Choice>
  </mc:AlternateContent>
  <xr:revisionPtr revIDLastSave="692" documentId="8_{2977E784-9874-4F4C-B7D2-C87CF0D2047C}" xr6:coauthVersionLast="47" xr6:coauthVersionMax="47" xr10:uidLastSave="{988F6326-F766-494B-8AAF-B1E123372F1D}"/>
  <bookViews>
    <workbookView xWindow="28680" yWindow="-120" windowWidth="29040" windowHeight="15720" firstSheet="4" activeTab="9" xr2:uid="{00000000-000D-0000-FFFF-FFFF00000000}"/>
  </bookViews>
  <sheets>
    <sheet name="Chart10" sheetId="18" state="hidden" r:id="rId1"/>
    <sheet name="Chart9" sheetId="17" state="hidden" r:id="rId2"/>
    <sheet name="Chart4" sheetId="12" state="hidden" r:id="rId3"/>
    <sheet name="Chart3" sheetId="11" state="hidden" r:id="rId4"/>
    <sheet name="Dashboard" sheetId="3" r:id="rId5"/>
    <sheet name="Entrada" sheetId="19" r:id="rId6"/>
    <sheet name="Data" sheetId="1" r:id="rId7"/>
    <sheet name="Map" sheetId="2" r:id="rId8"/>
    <sheet name="Config" sheetId="4" r:id="rId9"/>
    <sheet name="Log" sheetId="5" r:id="rId10"/>
    <sheet name="Hidden_Helper" sheetId="6" r:id="rId11"/>
  </sheets>
  <definedNames>
    <definedName name="_xlchart.v5.0" hidden="1">Hidden_Helper!$A$1</definedName>
    <definedName name="_xlchart.v5.1" hidden="1">Hidden_Helper!$A$2:$A$52</definedName>
    <definedName name="_xlchart.v5.2" hidden="1">Hidden_Helper!$B$1</definedName>
    <definedName name="_xlchart.v5.3" hidden="1">Hidden_Helper!$B$2:$B$52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3" l="1"/>
  <c r="F8" i="19"/>
  <c r="F7" i="19"/>
  <c r="N32" i="3"/>
  <c r="N35" i="3" s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2" i="6"/>
  <c r="N23" i="3"/>
  <c r="N29" i="3" l="1"/>
  <c r="N20" i="3"/>
  <c r="N26" i="3"/>
</calcChain>
</file>

<file path=xl/sharedStrings.xml><?xml version="1.0" encoding="utf-8"?>
<sst xmlns="http://schemas.openxmlformats.org/spreadsheetml/2006/main" count="524" uniqueCount="228">
  <si>
    <t>#case</t>
  </si>
  <si>
    <t>12345-3</t>
  </si>
  <si>
    <t>2hj3hj43</t>
  </si>
  <si>
    <t>ID_1</t>
  </si>
  <si>
    <t>client_name_2</t>
  </si>
  <si>
    <t>address_1</t>
  </si>
  <si>
    <t>city_1</t>
  </si>
  <si>
    <t>state_1</t>
  </si>
  <si>
    <t>area_1</t>
  </si>
  <si>
    <t>Yes</t>
  </si>
  <si>
    <t>221738-3</t>
  </si>
  <si>
    <t>3jr4nf45</t>
  </si>
  <si>
    <t>ID_2</t>
  </si>
  <si>
    <t>client_name_1</t>
  </si>
  <si>
    <t>address_2</t>
  </si>
  <si>
    <t>city_2</t>
  </si>
  <si>
    <t>state_2</t>
  </si>
  <si>
    <t>area_2</t>
  </si>
  <si>
    <t>field_pdf</t>
  </si>
  <si>
    <t>header_excel</t>
  </si>
  <si>
    <t>DWS Account No</t>
  </si>
  <si>
    <t>Date 1</t>
  </si>
  <si>
    <t>1. Employer</t>
  </si>
  <si>
    <t>2. Name of Business To Be Terminated</t>
  </si>
  <si>
    <t>3. Address Where This Busiess Is Located</t>
  </si>
  <si>
    <t>4. Date of Change or Termination</t>
  </si>
  <si>
    <t>Bankruptcy filed under</t>
  </si>
  <si>
    <t>5. (a) Name, Address, and Title</t>
  </si>
  <si>
    <t>5. (a) Name and Address where Payroll Records</t>
  </si>
  <si>
    <t>5. (f) Merger/Consolidated with</t>
  </si>
  <si>
    <t>5. (g) Sold to</t>
  </si>
  <si>
    <t>Successor's  Business Name and Mailing Address</t>
  </si>
  <si>
    <t>6. (b) Name of Business</t>
  </si>
  <si>
    <t>6. (b) Name of Business 2</t>
  </si>
  <si>
    <t>6. (b) Street Address</t>
  </si>
  <si>
    <t>6. (b) Street Address 2</t>
  </si>
  <si>
    <t>6. (b) Town State Zip</t>
  </si>
  <si>
    <t>6. (b) Town State Zip 2</t>
  </si>
  <si>
    <t>6. (b) No. of Employees</t>
  </si>
  <si>
    <t>6. (b) No. of Employees 2</t>
  </si>
  <si>
    <t>Title</t>
  </si>
  <si>
    <t>Check 5a</t>
  </si>
  <si>
    <t>check 5b</t>
  </si>
  <si>
    <t>check 5c</t>
  </si>
  <si>
    <t>check 5d</t>
  </si>
  <si>
    <t>check 5e</t>
  </si>
  <si>
    <t>5. (e) Other Specify</t>
  </si>
  <si>
    <t>Check below reason for Termination</t>
  </si>
  <si>
    <t>6. (a) yes</t>
  </si>
  <si>
    <t>6. (a) no</t>
  </si>
  <si>
    <t>accept</t>
  </si>
  <si>
    <t>Creado</t>
  </si>
  <si>
    <t>Estado</t>
  </si>
  <si>
    <t>Abreviatura</t>
  </si>
  <si>
    <t>Proceso</t>
  </si>
  <si>
    <t>PlantillaPDF</t>
  </si>
  <si>
    <t>RutaPlantilla</t>
  </si>
  <si>
    <t>CarpetaSalida</t>
  </si>
  <si>
    <t>HojaData</t>
  </si>
  <si>
    <t>HojaCampos</t>
  </si>
  <si>
    <t>Activo</t>
  </si>
  <si>
    <t>Arizona</t>
  </si>
  <si>
    <t>AZ</t>
  </si>
  <si>
    <t>ADD</t>
  </si>
  <si>
    <t>TERM</t>
  </si>
  <si>
    <t>Data</t>
  </si>
  <si>
    <t>Map</t>
  </si>
  <si>
    <t>Si</t>
  </si>
  <si>
    <t>C:\Users\Santiago.Betancur\Documents\auto\Templates</t>
  </si>
  <si>
    <t>Nueva York</t>
  </si>
  <si>
    <t>NY</t>
  </si>
  <si>
    <t>NY_ADD.pdf</t>
  </si>
  <si>
    <t>C:\Users\Santiago.Betancur\Documents\auto\Salida_PDFs\NY\ADD</t>
  </si>
  <si>
    <t>No</t>
  </si>
  <si>
    <t>Alabama</t>
  </si>
  <si>
    <t>AL</t>
  </si>
  <si>
    <t>Alaska</t>
  </si>
  <si>
    <t>AK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</si>
  <si>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</si>
  <si>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</si>
  <si>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</si>
  <si>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</si>
  <si>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</si>
  <si>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</si>
  <si>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</si>
  <si>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</si>
  <si>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</si>
  <si>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</si>
  <si>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</si>
  <si>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</si>
  <si>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</si>
  <si>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</si>
  <si>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</si>
  <si>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</si>
  <si>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</si>
  <si>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</si>
  <si>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</t>
  </si>
  <si>
    <t>Illinois</t>
  </si>
  <si>
    <t>Indiana</t>
  </si>
  <si>
    <t>Iowa</t>
  </si>
  <si>
    <t>IN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</si>
  <si>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</si>
  <si>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</si>
  <si>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</si>
  <si>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</si>
  <si>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</si>
  <si>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</si>
  <si>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</si>
  <si>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</si>
  <si>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</si>
  <si>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</si>
  <si>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</si>
  <si>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</t>
  </si>
  <si>
    <t>Michigan</t>
  </si>
  <si>
    <t>Massachusetts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</si>
  <si>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</si>
  <si>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</si>
  <si>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</si>
  <si>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</si>
  <si>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</si>
  <si>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</si>
  <si>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</si>
  <si>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</si>
  <si>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</si>
  <si>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</si>
  <si>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</si>
  <si>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</si>
  <si>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</si>
  <si>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</si>
  <si>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</si>
  <si>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</si>
  <si>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</si>
  <si>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</si>
  <si>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</si>
  <si>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</si>
  <si>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</si>
  <si>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</si>
  <si>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</si>
  <si>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</si>
  <si>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</si>
  <si>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</si>
  <si>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</si>
  <si>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</si>
  <si>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</si>
  <si>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</si>
  <si>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</si>
  <si>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</si>
  <si>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</si>
  <si>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</si>
  <si>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</si>
  <si>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</si>
  <si>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</si>
  <si>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</si>
  <si>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</si>
  <si>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</si>
  <si>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</si>
  <si>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</si>
  <si>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</si>
  <si>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</si>
  <si>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</si>
  <si>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</si>
  <si>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</si>
  <si>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</si>
  <si>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</si>
  <si>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</si>
  <si>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</si>
  <si>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</si>
  <si>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</si>
  <si>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</si>
  <si>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</si>
  <si>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</si>
  <si>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District of Columbia</t>
  </si>
  <si>
    <t>DC</t>
  </si>
  <si>
    <t>ADD, TERM</t>
  </si>
  <si>
    <t>Estado:</t>
  </si>
  <si>
    <t>Proceso:</t>
  </si>
  <si>
    <t>Proceso seleccionado:</t>
  </si>
  <si>
    <t>Plantilla detectada:</t>
  </si>
  <si>
    <t>Numero de registros:</t>
  </si>
  <si>
    <t>Check below reason for Termination2</t>
  </si>
  <si>
    <t>State</t>
  </si>
  <si>
    <t>Value</t>
  </si>
  <si>
    <t>Estado de validación:</t>
  </si>
  <si>
    <t>Arkanzas</t>
  </si>
  <si>
    <t>AR_TERM.pdf</t>
  </si>
  <si>
    <t>Estado activo/actualizado:</t>
  </si>
  <si>
    <t>Responsable:</t>
  </si>
  <si>
    <t>Procesos</t>
  </si>
  <si>
    <t>Empleado_1</t>
  </si>
  <si>
    <t>Empleado_3</t>
  </si>
  <si>
    <t>Empleado_2</t>
  </si>
  <si>
    <t>Responsable</t>
  </si>
  <si>
    <t xml:space="preserve">Código región: </t>
  </si>
  <si>
    <t>Carpeta salida:</t>
  </si>
  <si>
    <t>Fecha</t>
  </si>
  <si>
    <t>Hora</t>
  </si>
  <si>
    <t>Fila procesada</t>
  </si>
  <si>
    <t>Resultado</t>
  </si>
  <si>
    <t>Mensaje de error</t>
  </si>
  <si>
    <t>Ruta PDF Generado</t>
  </si>
  <si>
    <t>C:\Users\Santiago.Betancur\OneDrive - Employer Solutions\Desktop\auto\Salida_PDFs\AR\TERM</t>
  </si>
  <si>
    <t>C:\Users\Santiago.Betancur\OneDrive - Employer Solutions\Desktop\auto\Templates\AR_TERM.pdf</t>
  </si>
  <si>
    <t>Sistema de Gestíon de Formularios</t>
  </si>
  <si>
    <t>Estado, proceso, captura y generación automática de PDFs</t>
  </si>
  <si>
    <t># CASE:</t>
  </si>
  <si>
    <t>12345-876</t>
  </si>
  <si>
    <t>Aporte Isa</t>
  </si>
  <si>
    <t>Numero cuenta cliente</t>
  </si>
  <si>
    <t>Prism</t>
  </si>
  <si>
    <t>Donde esta?</t>
  </si>
  <si>
    <t>Fecha de creacion</t>
  </si>
  <si>
    <t>PEO workinkg client</t>
  </si>
  <si>
    <t>Client name</t>
  </si>
  <si>
    <t>main address</t>
  </si>
  <si>
    <t>prism</t>
  </si>
  <si>
    <t>Fecha real de termination</t>
  </si>
  <si>
    <t>assigned task, ya sea por mails, etc</t>
  </si>
  <si>
    <t>None</t>
  </si>
  <si>
    <t>none</t>
  </si>
  <si>
    <t>always yes</t>
  </si>
  <si>
    <t xml:space="preserve">always yes </t>
  </si>
  <si>
    <t>reassons</t>
  </si>
  <si>
    <t>client_space</t>
  </si>
  <si>
    <t>always no</t>
  </si>
  <si>
    <t>Firma</t>
  </si>
  <si>
    <t>title</t>
  </si>
  <si>
    <t>yes</t>
  </si>
  <si>
    <t>12345-876hhh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</si>
</sst>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Segoe UI Bold"/>
    </font>
    <font>
      <sz val="13"/>
      <color theme="1"/>
      <name val="Segoe UI Regula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0" fillId="2" borderId="0" xfId="0" applyFill="1"/>
    <xf numFmtId="0" fontId="0" fillId="0" borderId="1" xfId="0" applyBorder="1"/>
    <xf numFmtId="0" fontId="0" fillId="3" borderId="0" xfId="0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chartsheet" Target="chartsheets/sheet2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1.xml"/><Relationship Id="rId15" Type="http://schemas.openxmlformats.org/officeDocument/2006/relationships/calcChain" Target="calcChain.xml"/><Relationship Id="rId10" Type="http://schemas.openxmlformats.org/officeDocument/2006/relationships/worksheet" Target="worksheets/sheet6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2782960"/>
        <c:axId val="2112766640"/>
      </c:barChart>
      <c:catAx>
        <c:axId val="2112782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66640"/>
        <c:crosses val="autoZero"/>
        <c:auto val="1"/>
        <c:lblAlgn val="ctr"/>
        <c:lblOffset val="100"/>
        <c:noMultiLvlLbl val="0"/>
      </c:catAx>
      <c:valAx>
        <c:axId val="211276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8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2768560"/>
        <c:axId val="2112780080"/>
      </c:barChart>
      <c:catAx>
        <c:axId val="2112768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80080"/>
        <c:crosses val="autoZero"/>
        <c:auto val="1"/>
        <c:lblAlgn val="ctr"/>
        <c:lblOffset val="100"/>
        <c:noMultiLvlLbl val="0"/>
      </c:catAx>
      <c:valAx>
        <c:axId val="21127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6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2758000"/>
        <c:axId val="2112758960"/>
      </c:barChart>
      <c:catAx>
        <c:axId val="2112758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58960"/>
        <c:crosses val="autoZero"/>
        <c:auto val="1"/>
        <c:lblAlgn val="ctr"/>
        <c:lblOffset val="100"/>
        <c:noMultiLvlLbl val="0"/>
      </c:catAx>
      <c:valAx>
        <c:axId val="211275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5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2737360"/>
        <c:axId val="2112754160"/>
      </c:barChart>
      <c:catAx>
        <c:axId val="2112737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54160"/>
        <c:crosses val="autoZero"/>
        <c:auto val="1"/>
        <c:lblAlgn val="ctr"/>
        <c:lblOffset val="100"/>
        <c:noMultiLvlLbl val="0"/>
      </c:catAx>
      <c:valAx>
        <c:axId val="211275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73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ECC38631-AFCF-4730-BF92-2A7B75143F81}">
          <cx:tx>
            <cx:txData>
              <cx:f>_xlchart.v5.2</cx:f>
              <cx:v>Value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1H1rc9s4tu1fSeXzoRtvElPTp6opWbbj2EnsJN3JF5Zju/km+H79+rtoyYnEqGNPjW+dkmaqVREF
YQML+7U2AP/7tv/XbXJ/U77q0ySr/nXb//46qOv8X7/9Vt0G9+lNdZSGt6WpzN/10a1JfzN//x3e
3v92V950Yeb/xggVv90GN2V937/+33/j1/x789bc3tShyT409+VwdV81SV394tneR69u7tIwW4ZV
XYa3Nf399cf7/qZ6/eo+q8N6+Djk97+/3vnK61e/zX/op05fJZCrbu7QltMjobgjHErJw4u+fpWY
zN88trQ+4pwzbdtMP7ycx74vb1K0f1KcB2Fu7u7K+6rCYB7evzfbkRyf/vX61a1psnqaLh8z9/vr
T1lY39+9uq5v6nsMO6zMYv2FhZnE/3T9MN7fdif8f/89+wAzMPtkC5P5dD316CdI/khuvt2kN48T
8wKgsCNbKcEYs3fRcNSRIwjwIBs09GOnazSeIcl+PL43nCHyx9uDROTjfZZhvd3fP07PC2AiMfWY
deI4a0VhP0HDBWeK2uy7Iq2V9FFRniHSfnC2RjOD5+PlQcJzlt2FN9lLKow+0lRr4cgNOPwncJhD
ba2hOQ8v+bgw1uA8Q6D90HxvOAPm7DCBWd4nN91N+ZJqo48IcWzFuFz7D1isbf9iS/gfRwlOnfXz
GTLPkWg/ND9azrBZHh+k0iwMDMhtHd429ePi/e+tmqBH0pZUci6/W60deOCJuAPdYTNcninNfmh2
Gs/QWXw8SHTOYeub23h4OWi4fSSZzRwlf0Re29A48og5tm1zyvfatOdItB+eHy1n2Jx/OUhsENxU
8Qt6GyWOqBDCJoysbZbYtWlUsiNma0co+nN89oQk+xF5HMEMjz/ODxKPxU0S/m3KLHxBTKAtTAql
EAbsNWSU6qMpNrOpQKAwvR41dR0BPE+m/ehst50htPjjIBD6ddK1nWvufPM/zTX1kSRc2oLba4xm
URpyTUIdrrgWa4igV9sh9CwX/Gex9sM0a74zkgNJNMtwNC8aN4sjhpgY/n0z47N8k1J6hERUaiXV
A2R0F5E/nhZoPxbfG8705Y+vB6EvO1KDlPlzMGBp/MfJeYG4jB1BBRRjXKxVZZZtUoLoQMILIWxb
68pj32tz9gyB9gPzveHOEDHCw3T9FyarXzTTFPYR+BdJtb0BZmbDKIGfEZIyxWfW6xmi7Ifke8MZ
JBeHGSn/UcY3WfWiHKY4QvLoEE43OSY4yu1IWbMjwTWV8pEdmOUyz5FoPzQ/Ws6w+ePqIO3YVQBW
9dVZldxkd48G5QWMGZwIc5iWmxRfz/CxkYRS0GqTo3l4Qae2/f5zpdqP0W7rGU5XZweJ0+V99+rN
fVndD48z9QIokSPKNdGSbyoBM5djiyNlOxKVjjVIembfnifTfoy2284QunxzkAgtTGLKmzvzcvhw
ByGBIyURPwjmbStHiTySwp7i58dON6nNM0TZD8uPQcxAWbw7SFDeBeELAiLIkYBTQSiwCcFmZs0B
d0Y0tzmYgofXDJenpNmPybrVDI93pweJx5npXpACEOyI2EIhv9wfmmmO9JMQRcnmudrVk6ek2Y/H
utUMj7PDSPt3pEYas4LNCu9eEBLmHEkNFQERtnntRmZQEeFAQZiz4TBnKvIMgfaj8r3hzhAxwsOs
Z57cm9J/UbqMIUsBry/0/rK/w4/AcHIkOT8Katsh2TME2g/M94YzYE4OU2P+DKtbk1Vh9mhKXiAO
Q5zFNcIwtXErYCq3/byjUZJBMC31fp15lkj7wdlqOoPnz8OMky/C2yD0b14WHccWtradjUmbO30J
dIhGqXnzfOZkniPRfnB+tJxhc3Gg2NyE2f0Lqo084uD/hXwsNM+oTKWPGPyQQIiwdkWz9OXiKXH+
AZV1szkkh1liPkXxPwxfDpOHmguq/4RDC7ZtGMLmqbg5ZTLrWIw+drpOWZ4WZD8aj+1mcJwepoac
3d0EL5mviCPuaGKzxwrYzHRRCs8Dr2I7ZEaQPSnIfjQ2zWZgnC0PMle5CKtq+n+ev6CCcKSIDAri
PG6O0bt6Al+PygtDyr/J+X/yJs8Saj88OyOagXRxfZAgnSVJmJmwerQmLxCNgRWDwoBV2biNnxGi
wlFcfofwse+1JXuORPvh+dFyhs3ZYeYwF+G0AdLUL5heCgWfrynI/U2WAjey7WY0NmpopJaocO6i
8ixZ9sOy1XSGy8Vh7vk7f+lqjIOcXmC7uL2hveagOHBDqPNjJ8A6EEOgtp1aPi3PfmAe281QOT9M
SzYx4qc3aV4F4UtuxxT8SDkSdMzjfj8QLtsaM5VibOzWRB3ge915G5xni7Ufo1nzGVSXh8livjVN
WL3wfmZypB0wM+o7cbYLk6aoeFIHGzd+7EDbhulZIu2HaKvpDJ63fxxkTHBpyjp4tbgpDWKDF3Q+
HCkMR7Qske4/vGYJp62PqCO5o9R66wyZxW7Pl2s/UPP2M7QuFweJ1sVNObxs9XmqmyHXhLfZ1SFb
oTxDsf3pcbcZTOG2Dj1Hkv3I/Gg5w+TiQFOfm6q6uQ2a6r6uq8dJeoHQmh1hQyb2AsLZPLxm+Sh8
kSLYMMidWYRw8Vx5/gmeneHMMTpkK7e8iV82wLZRBlCcONgZsH7t6hBcFI5vTDsIHws8j8tjnf2s
bdTTUu0Harf1DKfLA9UlcAimKV+SQ0A8rWxsbRL7921Mu59wSsCmjxjNyJ2JBnhKov34/Gg5w+bi
MLcHXN5/K1/2pMB0vAZbzjlC6u/h9Ha4jR3PCPNsbPPcHL+ZxwjPkGg/Nj/GMsPm8jCp6WvTIIp7
2pL8Z6efhcDOQBQFkPOszdsshpvsG+MEHIOalQueK89+dHZbzxC6PkzLdnnf3rzk3gGOk+dSYYfz
Y3w9Cw8oVSBHEWDbmxO54Bm247en5dmPzWO7GSqXnw8ynv7zBgxC5tfmJWugiAooxUEO5x+0hhFs
Tsf+gkeXNEPmeTLtR2e77QyhPw80cgPTc3Hfh7cvWOrhsGsMboeKjd+Z0TyUqCNKHGz3dGbYTAzN
09Lsx2a77Qyby4uD1J5pRF9MGT9alhdJepBxMjHd4fDwmiGD89Co9xBQdJt6w08RwdMS/TM667HM
sflykNi8ixOUR1/02g0wOg5HwrMJxgh0Yydaw5kbKA0hj9ECGIVtj/McifZj86PlDJt3h3nC8115
77+ox+FHGkwa6mxqfx764HEQSmMD9AyTJyX5B0Q27eZ4HOa5jve4D6UakvbmRc/cYgO0o3HkdlN8
I3N9se0jhzvOVAhao4YIbltfnivVfoR2W89wen+YscA6L/j/wFVDfwiITvZ4y9PM6zgTktjrifOe
a6RmXuf5cu3Hat5+htb14iA90Kf6Jnhc0f99ZDDlO2BDUXzbuJ/Z+ZuHs7g2aj5MzdB5So79mKxb
zZD49PEgkfgcYnv0i9q26fYNyhwNau277dqOBWznaDJ8Evup1s+hUdu27TkS7cflR8sZNp8P06Z9
vi9TnMJ9nJ7/XlFA2hBbMvxvZsVsbGpXTGmFxObhNWM6nyHJP0DyOIQ5IoepLX/eV/WrH8tsvWz/
e1xQaMOddWAFUFR7eM3INDgZhZwUSeeGqJ6pzLPF2g/SrPkMqj8Pk755vPjxlfn7FU7jNem3Fz0F
gtIowZFBOp1V37FuOOVOsQsEN0OuocTzbev2n4q1H7H9vzIDbvl/FBv8832R36/TXN7UN8cP93Bu
XRn566cPE4GrQWdNN5O71sHb7RswH+f97O7310wAhu+3e04/sQPK7H6TNV7f293fVPXvry2ljrTN
OU7JYUsjts5NuxI62IPfX6MWO7k8UELYHISrdBxE69m0d+L316jEcmRWOFm6uQmsmth4NMH64Qwn
IDVFlUPjdp3vd5++N8mAFPD7bGz+/Spr0vcmzOoKV49C//P11yYppx4pblSCjWA2aoo4nYTntzdX
oC/xbfo/CY3KjHaxvHeoVzf6mOUit5IFydtw/Cxlk8c3wipltcqKoRrEsma9DPqFZTzyzc9KkVkL
w/rYfqMDOTTLWFtZcdrpNKkuEpnm1uCauJf5NxnXUW+WmKsk4gvftgW9t3szNFdJ0NvJjePI3Lvl
KS/Upa/CIuduSsMKoohclum7gJK6y5Z+Iss4d00n0/QttYcCIvtpSodzlvIs+tuqWoM2W5DumSTY
0J05Qq2cCQ1ydUq8MF1YEdtzZNM0bAIVOPdeZ7KoOK1TkYjTRLRVaZ+OlV+H3WIMc1zAlBAvZN7q
191TBKG7/U+lRA7+Cj4WJyn19HwLozHiTqWICu8iGvM4XNSGSx64WjOriFZl3/llvSyD2heBawlr
zLP3neBDxRZUjKrjb2oVZFXsGlPwkl7izoACz34tJJbwtow4bsA59uQidgOJNi3LXRn7ILRYUHLr
TlllS9jSH23fLlaJI2pO3KyslfoaS+LVZ7/ud4bN1K/Q2PmIAJ5h2+m837wZjG0s7tz5A9accluS
J9VfgfBY5rtdFDbhu8zDrcO1GwQGYb776+7BPs2GbeMaX5zq00IiTbCnadmCxpdtaJE+4HeWndgF
X8iOKHkDRbLqMzOGdnIZWtTQCx4XQ3MdV4SMgYvqQYJJ+bUkiLN2JZEM7D+u25g2ryNMmwFQq5BE
Q5x5t54eM1memCJPveHY8tJKDyeDU/ZA5ddd/jx41IEUqDvsiJsyXbI7+MAOvCQaSHknVActXw1U
jTReybJrKnEcOp5QX8sGs164lUIS9tWQoS31cRsakndPLAQ6s2T2lBfgMthJUeFBsd11Vxpfj5HU
eW19w+5OO7VO+zqYFCLtTYALjpsuEqNYhGk1sNztNeOQSoYkaK7TXEXDIrNomV3rNEjLbFlIU7Kr
tA2z6tuv52yyp1v21kYNh+CsNG6rwRWQ0JaZLWk6zylJMfbf+rIusQhIExNMFuk7Li23L3lrXecs
LialqTszvYW53/ynk4VCHo5tc4J8SnAB07Y7WU7BqnqolPmWJdKCDY9gvcbObQdSD/KcexJ2v/Ib
XCuTRjKDRS3ztKTy1LEiq43dIoC1nSz/EKBVFo5Jey76ODfpE2ZlurxvNl9TOshwCwYDwkrN/FPP
uyzX2ci/VR5TVnoc1VWeNO+LsQ7zbNEVQwHhLDtt8cwMRWqGpROPg3Xd5bl3VukyifxFOo5kOE+D
Iqs9N9NEefWikcRKrlSq/TFdMK57mERmRQPN3pBRJ/jVOPS6onhCTSn47J0B4bZiEHhaERTzcPJH
ziwGVmZWtFmbf7WlkZFc5AT3fxSu5zValws62hZMuzesrWfSCDxrHsxJTj0Hj/qu5qpYNR1/WqHF
3IrjBiUEI1JTykD9/rQs4j6uUi8w+de8hBYVx7yKHXHBaMCHc141A6ZDe20yfk6DfhhstwnKrggW
MPiduvKL0bNOy1RE4+fSaip16YRqChB60aaJPokbOcFjKq6xhIbWlu1VXkbx+HlMVNzFLkmSyWmF
mH0AZDId4EM+4D60z07a98COy2jAWzUSv3aWuax4tVJ2M2EX936IAKN46F47vjV0rmP6CD9hEDxA
8tDKptigzmUa3/SVyop8pduStteCm7F+W5axV7pJkpYsXVi+l/anvoBz/ZI5mSc+t6SlWGS24yPO
aIvMIET5tW2Ym3DMvo06Bw6+CFvhSpjZ0uDekPlU58nXkaZV6bs9I3ZeuZ2JTHLGm6KDofh1j3Nr
hOOAgjAKv42qpf6px6okVdClvPvCx2ZajF0jJvPHKjuG81ZtIdVXL+IjFmHHmrryL2wYFqzTX4sx
XWy7oxQcV68zG44LV90wgSh51xyNvG0KS6v0cyqytOZubRpp3ZsiKGCNgrjK6HHp2SZ831aOD4uT
B9L4x75Ts9a4uLC1S1q3Zn5xnniOuu55mTiDW3VUtVe1Y5FwUcixN+dYRCRwIyK8MHeFp+ik7AHB
OjRtgOjizIvietL8Fjsk3k1XxeeDy+OS9+3Jr0c8t2sOdliSiVVkD5fHICfYHXGsvCDrisr+1DYZ
QRAry5IhiG3Had3iklMhTgPa9Vi2faw53vz6IbK1VD4tad5EHfOuvV5NS5oV4ZiWp2HO+GQii7Ei
dFUkbV6FJ6McYmid16VTTE0HJ4V22rSAGv16SGxm2RxEQA7cJqwaEATpPTPVBc/S0UQZ++TUAYdu
1bk/CVBbvJlU90GPUYYdIJsX9JOKw1ZOJqXMCzgaK6AI42kvp49MEeNS10RHtjgNu2Sah2LojLr0
ih7fCgM+DXHwU1WtYssu+Sp3ypZXiwH+AsN9YmizKBND08jXGbbzgX4UiPd20ar7mNpJY4ZP3G8n
S1WXBZbWmIyhua2JE7PMHWpTjJ9tlk3+MbUMBSC9ShN/OB5TRWt/pbnVdJ8QpZaYjs6OOFYfb0dY
kyy0NJaY6JJ8sm4NzOZpyPIOZq1GRIIOw9oj+BdyLIqpSH2BqahrO7DqhUyaCCoRaBbhX+v5mUzh
dDvv98T2/TpG2U4VZzqKm3VRP0ekLR2kneSnUJd2o1CDKqyPbWobWId1eMsCp2/jBTLLwM+eMgsz
dzR1KbBLjxG4JdxUNk+8SGQQQua9/bFqKFZIPWCvdHgC34/5EVEujDz2Osv0lasSPmDCk9bLELLA
6GGWurJP6ve2qhwvWnm1cGAMoJDtVQlaBh4gtaD4dZ/BUW1g84suw1T2iZNBV6BFExx+3E9AWFFI
8aaHSLdXxKQGksg4hm+KVT3lqb+ebaH5rk3E4CcnACOBM8IoEc0zG4SDleWTfvgYBINKPLduYp4v
vI540aVioyiH4yIoVe64mjEdBW5ZFmHxhiQN76WbI9qxzks/tcSFlwY2XxSd6f1bEibktPMaoZax
nZnkTkTJWF6lRqX4sysjTbp3oqWkH5dOlGmZLwrEj1Wz6jrptJdlEXi9cVVKUvqWk5LqZZaVmi6i
vm5KzzW9U4yRG2RtKfqF38ctlKEdy25I3N6SkYhWmtFGXKukHoS/ID1tuuYk111APcRvnl+f1YGN
yGxhj0k3jkhrsRTzsz4evMYtqjxSq1bbPl/K1OrHj50yLPzciMT3llzUjC4G5KdmcJVfV3qpQ9bF
C18m/il2xdfLwpBuPPd0RsgJ7WjAVr5VOQE5zmOTik+DbP3Y+qQN6fuPfd3z+sKq6sy6gsewmztZ
KlV+Gu3Wz4ybG0OD6oPuxyQ+8UKwG6vRCCc1ro4NZ8HCLseqcL7RNHKyu4Dlpu2XWCpDca+buuvI
Ik66ikantZcV0lkiD5CJOvFSK1aXmtpWHJ+0KmdVEtwHTsZrzHJPuVOKi5GbFkt6pGWVBx9wp0mt
yHGWiTy3zxrthUHyNpN9XPjHUevXXfu2k54fhitPpF0jr7yM8eJMRSLwnRXWiuKxm7cjgVtPKifs
tOtbQhX1MvDKMRrOOr+ygvCkC1N4m0WsOwED2+ZhI/8yVqNkdYbF0VneouMIW+hlkyPq0m49cKdX
7xJm23ir1x9aYZjgGa7wEuhuNJUovo1NoVn7JlJl7rNT2luWbS+GSMaNfdJnEU0TV4p28otEWiGG
43MJp3LTewOuc1lEMtDSfzd0eZfb7yPPirpkZcfcYvlZ3Azaad+piMtQu4XWEydhl7UM4s+273nW
eC5EUmGmrKGAyb6A1S4CeW5xr7STtzQsQpq8j6IucrzjLoIh8I9NiI375QImaxJpaK2EsGPiB0NY
LEkeR6WzzGpiyewv5rMM/aVRovWnxneKYlEiD8bMMqcJ4UEWVAXTj0B+hCxuUegpphdBhdEv8oBm
XK2ioJtmjCd1jDdTBbV1naX2ZPJFW/uOvdBdbbAAxgzxxkmtyxTfy9dDDWo5YvqKCHfa2/AllYfe
koAiycxoOMFDcxEw+SdN+mmeM6EjcElWY5WAwspiJxD3RYGEpliVYYhIa9E5dLCLRegEsrGAoGiK
5nMdZU2YYb6sYDQnQTMK2l84kT2JHALpfLxWWFnogeNR8c2z+mmBqdKakJeDhc8SnU5T07YUX4WL
dYoOMrS4CAhj3IynLDkvvoFwC/CZ7HOjrmMpPM0XotMggNzcDijmYrN6vLHS+Ek7sqbBefXwMBkN
Vk252MS4Wo5y+hevZHzBSVha15upttZff5zk9ffAFLD4wmZ5CgFoZgXttzhUeViehBkfMOiCjfhr
V67PuB+SayTgvtGuXANlxrbGUkPm3ZT+WUb14EmXxkE7qHc6bQxmqWVpgq+wHBxbuQDN4bXajckw
Bb1+ir9aAB21fVJ80+sZNDk0CHZtPaaAhcjRFrnJVEdPh8aZsnOyhna9PJQXJ5gfJUK0OJZ2Mg2+
V0OAderTcuomEIHCh4MpiB18Gq1QNPUbjJRP07teSGMzNJASg5x+hYZlhXbYu8qxuqo6mERfT6g1
diP+YRJuhH1sEZnF0dmIelafn/gEjBY57sLGQKd15E/MR9UB37C1WfGNKj/D8qkkIlYMvmwR7L6r
wGVPP8ja6U20voO3JCOTOqSjnOTPGuUH3acm8RM/XGW+g98NCk59fhpXg03rc75eK2FU6do+2Uy5
jtoS4vQhj/Ej8AAGnUd5GMPPt7QYFfmEyC1y2mVeWHUWLkjle+hcRgGu3V/WSQ5uMwFhAMoGMAXN
mW38SZ0b+Fd8Fg+NipxVjGCxH95wXSW9Oa2FIWm6SLRI0tb1Kh+0IdW0wfeDuqjwhqBRJpdp0eC/
Q9qBRJOko6CKCnD5yWUb1x5Iga6M0DsNfNN+VpnXIwvwhnFa+52GKY9WPS8YLIxTBknjHCcpXGx6
3FuZp6szqeGq+i9E9RHsjZ8YE8enGzo5qpOgjFZNkCDfvR1EhU2Wp3kUYDpO+IPOFMZJMGGV18Xe
+JkHjunqTwXvgk6d1uuh99qvMEU878cYI4r9rpLHaiQUVq4uxTR9tM+nVQO+alria/7UqeIOM0Ab
No23DkOGtxILHN8vQlChlhsmI3hl7MGJM+2CshhUesFzWuIbaqBTDtvKpsK6WpMsI5VJ6a2arCg9
duZ7xYjfGNfUm4e0HKxhIUUMvtSjMVLfNEXulC3qBMSEPE9jNelTLboQJLwfOzVMJVfeAJ9XDbA0
0QqZ7TR5TcgnqoA1TgwuPkoyH81xBhOj/NIhPPOsN51XlWV4qXk0kZSmgbu7sGOPq/qDAI01eMe9
F1lDsFJdLpNqCeoC5yVcGySQ+ip8TpGSwxlqgD9aYsSoVJZObiOV3rTcSlZSLL71TEa1ARPNQxLy
9k03ytSzP8Rj01nXJYJpsApjXmj1FfYW68vq8hEzEAkyjcHLMwvGH+nlxFIlIeJVRNY6NV3+Vekh
KOg30ScquVSqyAdvJZipauvvLqRR7x3Do/FEulUC/ttaOAm1y89gJLu4/kj8IvL9hScHHvRXnY3Y
prjTbdgW7EvlOaAmTsq4aVO9sNhYxZ9H0TBh3AbeoUeyT6lBTGnbUje0wSpPI80WLT607Na1O1Sm
+uVmJGssizwCQbzA4YZhGtaDuUmSdrJ/evAna4Lof1LesEqnb2QP7L0XsekzSYmFbwz+MH3R42An
0mNk7lNtI0y8HKrsI1r0Lsd6oPlxBEWdtFKn05PNkkVMCUukcSwGj9Z8+GROLX9R9kPJbZeykjjv
m8D2O+N2JAN7LobR0+ysK7JJy31rnOjACnUivAmEZfVZMRKsb0FQf7gEbzlJHoeoNH7ddCRLDZdW
YKlY1+uMLQuj0Y7dKMsb8SFeG6x4TTQW2O2J1WAlxURCVqUqhVimfloYzw0K1VjXTShzjLnuUMVr
34TMn8K4QPTow26TSazmQeEsE8OPuJ5sJiXP2VRmXGZdP61J2xtZHLoyqLI0PQ6iBNq4Wk8IeODJ
6MXYlIrfFRW1ovOA8cR2niC+Zgk9uBzYB6xgBuOm6E+0clCjhgC+ml0HxihIbft+D23oDMxsYYlJ
g5IWxEvgtmExyf5Edreb203d49o07HleX9Q5p9/LpjdWV9mgqtamMQIHDCmQB0CTft3VjECHNhHc
CYK+QFnhv2pK67cqVJ0TF46HUPJxjZC4N2ZR5J4Q73Dl3rS6tQomUJswAsJGlAKQbYzjr2XZpRCw
xQ7rx8EfvnIUyuFY52xXFq/lDPRt5F/jpn+YsVDSKR6vKlxXejwahM5PzfPPHWJbDIgD5WgGclHP
eMU4KAlNUuJdFX0GR+HH8Phn9hDDzG00+9cDpBNt96O8M41wunlY4uCnw3Dn7ZzI7JNI+FmdqKuN
xeiCcSLtB8UHKVe9qJx2FeXeWH5oOj5Ey7TJJnvOS5gGqxoF/NETEu2udEiEVGq6t4LbWuJg17ws
NmhidfbAi6tkrVQd4jroeN/EHux66LQhIAhEM0AzNYdzQGhhBZMgUc6LZly0BTL7lUy5kcTtYVqG
BUx9ga9DPzx6GQ4c+eSiW9ez8rWZ/fUg5jACOPwFToJrBkHJUvxlu911A79b1Ky32sugiifLND4E
Qnkls+bDYDmNwO1Nz6e6JAoguNMQm3QeDotMd0ns9mf3iEZwDUhzuXF7vR8UkUsMLKtxywq3X/5n
/YHyn+7ih2LgoIN4OPe4raO888BEt2F0uXZLCJInNOw4gV5kVTE5jF93OJX3tpYpFgTKT9MJZexH
EWA0Z3xmN4x9WI4yPrUzq4zlwk5Tm39VJRTmKRX8uStA56CCh7/kiSRzbupSj6VD4yv/dB2KtBLs
CNYRK1K8/XpUs9oafh07NPAHKdl0SSv+fM68gJKROvCiPte3JAJNvVErpuIpVCx5OqWTndNm6YKk
omS2a5cJKh1uglC0WtQ86+1PUUdgBJ+Qa71FZGvCwWFiCh7+FCbu93VwqmJ3RRGCepEdBtVJOTIS
VMdM9tMuiQa30DXm72rMUGhfmMoH56vd1BuRxbq19GuaniOKwNYgf2HiHIzUWybAiZD3qSd935wO
iFmkufT6MKb9sPAYSmFfqqJIkZ6VERNZcZwmzcjqBTFEVenSKSUowLe8p4ar93pdZ4wVkiT+zstS
WvQXsR+0Glt5mlaFFFxNhC0kp0iA7DBdJlaUY4lsAifbQrPAjdfhDjIHB05MPZjXdQoUP8xmF6QM
LgUp6xSedC2zEGgb5iB/yViD6Ubopxr7klfJFGRa65grR9EWuJHcoWPoxlWd0tHNqlJn4VLldhI1
7iMVU8CdB+4mwHqI7FDx6zC/Y+FMwYVdtGC8kPPEih3njkGXaYxsp31DUEUJ/UXSp7j07wR1hiRK
PnGE45pfqqHWIj+LFLEmkqJqS/C/wzo/1N1Q8WIZxE0KOhjMkI3qhxsFtWO8hdUYvyOpW+CghmTv
daFzuzv2Cxid4qMcdDuaj6iDTJU2xKaEqUtTVyhufAxzsOD+Eusc2xxWQVlQGi1SimD47wEpceW8
karv2Fcq+6F2LkHnefmHTOsoZsdRVlkEGTouOOrrBbaYocZ/nJkB2C67no3l4BILjEm7QMhIpbMY
xOB1b2Nd1dXookzehcjytVOiXhsGpDoRJKm7b4qk8RAsPYFEIHNTO0vLvzIwQlbjOutS4MZGFqjT
++qtk8KfRKssSBRrEN0/xH8g5Kf4dcjqyRmul0byEKVmdhIjlSw1durkblsSlVJYWN/YEIPFMXO7
2Gr1RzgX41znmbaSVRpKX7qB73fXcghltBzCzjsJRctPQ8LHs7Ts21MwLObKLhVb9FoGl3ZYJwRc
dlt+9LCoT4UvTeVC+4JvUZknf/kkNMteUw85csLrEyThoLpYJs+dnHw1MdQx63L1VnVhvrRFEABd
YpWryO7FcWTC5t0YJTU5RrZQHzsD4QlWrEpvg7y5ZlTk56Ww/PO0repjWYEaxwYZ/7Q1jV4GunM+
2HlQYL9BHt6FVeEtkyD33UFk2VJ6unjjjCxdDV6G6nSWS4GfdoZsIaLMXnX4yTMHeeK3sjfNCfZj
eHeFjpOTuKfJ6A46kqsgIuY6F6gZuAmoo8q1uPE/df3o3CRWJkExNOnHzmHhMWE1eSOIDkLXWBZ/
K0Afrsq6wh2Dke19AKkZYh9VzfUdRQkKeRbN6VXLoiBc5UNmHdMqra+qVoAIgSlYVkPfvOFVOcSu
TDtn4dnaC5y/wpbp4Qw7I5rbiomIHpsmr5F+hWkwuC1ufbx3ammnS8uzyjepxjaJpaB19KFveYz8
LTXnsqppsfCcwNyQqMrf9rhT/bxSdFqhnpxqu37bvekRZl8QO27PwMpbb8KYB2zpwPrd0a7jmTuO
Dg2QzufWly4vuvvC+n/sndmO5DiXpJ9IgPYFGAwwknyNfc2IvCEiIzMpLpIoSqRIPf2YV9X8XZXV
XT+6rwfIm0CGh7vkEnmO2WdHgWtiFm0f88zHGKSDAta4bTOu3E4qWYPk0qZV2yrcOTd0onUYKXbr
owILMVq9xq6JTM7IaEt11m7S+1iZ+CqTvauhQL9mq/8MDSG3aYTbx85maSF5hqymrrdFm/kx2aXF
MtyqLtXvXjnUiiFsdzrXRoDNEE3BaKbqwCTpBxzzsU5iORxGCBh1HPbLg4sG8TB3fhGNWBb6MnV+
etNO9XE9OeMaEmnFa47PBye4hBaIG891W5O6cr2v4rmTzbBZ/sF7tdUwn/pXDP6caqVs9FDB3Dip
WJeN0SE5p2xIP+Yyd9ccPoSFHZIavClZamKCCZ2yodd5GYyslpGoPnSAYqstUTfyOuPzdJ+vudhj
oc/zpmJbcVyisbsHPwTmZO30SzwO6mCNiw5c2fxDJ+RlRf/+sk39Vh4mlfqaTz394XFCDt1SGLND
eeqfFl1lpNbpBCdZ0KUOO2tPeSXUYUJ9HNW0mKuXaliqb4lTyTPXZPxmN7v9MLjAW1uM8U0K4OEQ
YqdoJzctT6h7gzpbB3sd6Fl83cJxOCQyIiDGIHPfdj5MsZc5rEghZyV0qkzkxwKGUaPmgR9EZvQL
mLMEn9/G5ygckj3Pk/kdeuF0Xw2dPkZeVk99r7crOvNp5wosuWjPe3Y7pOFy1iZd74eZ6Gddluln
IiwWh3jy9jb1PW4eaG13UbKYK6eL9cRWl4zQk8rhQPI+bdG2g/yEHFOdtkCTa0I6/bDFZfdSQtJ5
n7ZyecaGT4+42YqbLQoWsFU528uKZNdw3qOkWfpKtuXmhwTXux72Gw3GewFr4J66UU0NiJVwr1c+
vavFpBRN/7Zd6yo1VwCoBFSLfnymyVb1WLN7t0sKUR4jeJGNVVt6V1qawDHQwfeAxGDjrn2Wbqxq
fO9Qg7eFgdReXossscWyC5Ebl0stK0Wu10DRe6g/8jZI/fAqF/2B11AI0Cx6nXtUMNwU/NZVHFho
piJ2rkYVfzUBMWsjuzW8AYJkXlhs7XToYpmkTdVFxVVKRl3uq7AfqnPflaqFv5xutYUP35bV1hc1
35bK1n1ChtsxAIdw5YOpwLnOw3XR11NlYUBFTkfraUin/i5xafBQDBVTTe50N+66SulHTpntd7Ci
fXfVMzGyNtBDBlKTkCg4FHaet0dfDtp0h0vpEbbV5PDQIYGzNq5UnAW0Ai2bqEDl0mS9IfYGKg6f
m8RE9HktttE3Yyjza2CEJGrXCCXi1QKBYHnNGLpSjXVEqyXLUTjRAbjT0S55cc5iFw78eUs8iW3t
3RRW5hxjsQtPZQqn4jBJP+i2s3NmnqqACg4yiMpK1zogVIomSCv3xBLQPHXcpfJh9FGwHVY0wLwJ
iykOr9eKu6GJNfyFm0JiOW0B7m3tCMXtzOOFNXimrDgvgXczv5M+yKstwekfQte30I96caHHVJz1
d8uS8nJpfc5zGUP4n0fcDyVs18ZEPu53aWRkdy06uMZ1P0B+brbFTUOd9B6GVGG4OA4szcYdXbP1
RjDIty13zB0TivHEbV6GXQGpjuvoJKhWsElNVvg6XuHK50u83AZZ5Yqm5ySd6yIVCSRCaImvkQr0
d1uhNEm08vFhHEmU7KjtYhM3KOG6YGzADACRW+uiyx99kI4FCjNTeiYbrKQLfmEMA4YJFliEpjLf
dUqqOqNT5Kqd6Iuo6HYqdmOW3USBzc0LTOaeHPlUph/U2q/b1tEX2qmvtFIZr9Em9E8rmJMdKYk+
hNg8QiwSuYYtV2xX0sfyVifM7G2nq0ZNalN1AXxU1X2f9U96kHmrde5rU7IU66td+s+Fkm1fjBL2
InXkBs5nGTaRm9ep3bDZpPfV3CVPBcAm3TILDQrXAy6YGpze+j0alXhQ0zCXu7ko6PU8DuOTmeaF
7oyjlpygZtOiDnpXnfqRT208THIvJpI9DSKMdtXSjVeCZMFNLFx6FSuYqSOdYapXaIvaOCbIZZvC
HDYXx7JGtk32bVjZad6pKB9vwTWuy0npldTVvIaumQTlTZrPVtVV1BOwrQA1zWnOcXA7D/H9aSN4
jg+BHz8dOHy/VuOmXOvNC32LXR6bP8uFbBlHfYGPQB6x67C9Kaq8MYPqXjmj0Vcogm4PmKg6jGHV
7wtV8PuAh7qxfd69hUP/IjkINYrGbV/EhL+Pa7yMdZaM43sSEn02cUJcTbTjZcMg2p6JinHQNITy
zpxt0IQndxxtydmuEfsUXVJ8FYRGbyJK1msLR7nN1DSeEkjZrzAFYnFZ05yqEx5ONzkhCepWLI6X
izD9TMWlSfdDf9m1XTx/G20ZsJ3MGQxaiNxjfhqygY3NrJlb4IFtI0TMYuVRk0isI3UeMJ7dSDXH
37quW0QdS3yGmsuiKxuBv9tAlsM10XmVnfrcxEWLFt5KjVpL0HOvxuWLQtfWNUIlSfgVG++q6yoo
V3sMFpG3i+LBkU1Z/HLhGfbRZoWpmQ/UXZY5/s3YUmF7QOe5Hw0BpTWSLLmGpaivlAfsUmuKkuba
zUZ9E/HiWDND/rQ1s9J9LovHvYKbEn2aUVBXv1u4abaGU2h3A7fJGeI5BcrF3IZiHjjrD0zNtmTf
F91ylXr0b3WAcmRpJZmCbBdMPVjkcLPZ6zJL+V4o6xoxJ3Mrw2AKb81aRE9w/coKtBJquDpf1k4e
VhRVZ6x+w7pzU9dxlHIVSk/QJcF4m3RrFDSGXAhB34eZ2mllkXwAKYOLqEm7vuOpsHtqc1g8vWi4
QJGmd5c21jbETyxGTZ0MZHsbZjOIu3iM1rlFV0EElrQqHzfV6MhQ6Q9BGPMhvctNQspaRBNLPiRw
1mBobFA6TvYw8oQLb0Q35mPVoNt2qarN1vWzaQpsuJlvO/hqpawNKPPUt4P1pBdXviSQdJrZoAFT
99JCtUpqB/y8Mntt1MTeKBXpSNsVtwrsHaSEkkHX1k1jvuwparXhZDoT9D/naXY223Xgsvphl03w
AJ9IGMMTOigAXMvQap8GIb/nRgl8D2kAjMtwENbwJizwexz+jz6oihDnceaDbyvVuewt01ncPf0u
IgfqYoQssrpItnFEnLpCnu+CFIBjuPgzuA+34jtNSejyA3jvDffbFM0Vezdq7YKuHkoIcAE6W8LX
HFsEluPl1XQQFMrrBQWluw15Ffq0MXQ2kzhscN3wbWHL4yP/lpRmsH2bycX44SoxOLytZiPoj7kB
jJP05ClZMsXyXQ6AliXn0JjJj+Cj2IIaB70DnfZKlRzrcbCMrQAddRMDMkPpriqsmL5iKKLK9MCW
ovdeQR22UHhZA9TLyDXd0cGlTO7UChKognYwjOX1htKv3JFA5gTunCWVMnWUTlW6K/yWpAf4kf2r
Ko18CUD9LHU8IhRXpwb3zg4UTP89HASqLFD5nRa7MZ+rrrUa/Iyrt3iCKbrlxv9G/58rRu09RFx7
hD7NrseQJI2Ic3PDI+/7nUp6QGS2gkGtAvnEK7cWpwklXFEng/Jp7YZVDAe9hKArXanWAaEhK76r
LSQCS2vakzrHPmraJdn848yC1aFACOQOFSg6RMJVlh10ni59S/rSfQs24ryqI7pO0WMpmMjaFXP5
PzUeWaTrmVu0BsMWWHQjmkfdDuWEno+my4T9TgN3UVxQUcdDs4mO7pEfsyTY9yYqAQ3FUzU0JEzH
cZf6cD5G81i8SytTCJYFienYQFBkGTrUws+3fZmHpo3DzCxvQDKAc9Ragf5rwJpMFgVSFIN3grh1
S9F593U6oQ6/cTACXb0motgVIpfngM4jEHuTIfQB5k/1QEpib+a2HLIKVlmwdAfkKfDFFI4GdQLm
7zgpOfHGQDD7tgGkwLVBqgcThCOOc1P7PFLu3uPLbtOKlNWOg/n4EQCqgnjIFb0OsAzPX9Fcrt1D
wXt9qbqSmB1RweRnnRYZ+4YlMvGHxKb8cVwTcgN8k36nOsKZL9fNAaMjBsrItjFXKxauL6XLzP2q
ZYdDQLwOrnXRj1hNix4hCpFVjxHkw6Kt+LieIogWrF3B7HxZkxT5xkzM6XFIOQc2qbOnidBxv8RD
+JbrOaqrAnxkp+WG5MC8+Rq5LH+LrGfM2tjMFmEzOQDcr5it7InmGtTcPGzAVClZHT5uJS/IBrrh
Rg2Fj/dwruD/4lnLbG6pTSyW3gA5DFYvqgD2mNB5QlEw+PkmMcpc0ziyZRtmVBV7ABrqeXXFAhp6
GXCUoBSKr6nuSlr3KMDvpuBS8c5lWg41amrP6lyQCpiMmFjXYkPnIMIgl9xvPRSAesuVynfCAvxr
k7Bnu21yeA3NgPkBZ+lVaxP1c527YReT2TXrkvn3AquFvXLLoFUrJ1s+zpleDN4uyyY0BAwqUB+P
N4kk8VXZSVEAXyK+r3VEqqsg6OJvXjJxdoGa78EQ8gZsWvyBtI4Z4H8UlW9YNnPdFGvKfGtWz+da
6nIhO9OxUmL91Ym84lHss/2Sr9lrQDrlbqFciQRiwNj7Wqo+emcVSIy6ByByO4J8CXfFmnk0BVWM
tMVEwqzf9RHvnkXm9Npg30RVh/q87RI9lZfzlt+tyQoZOolHclvKPnmbQH/Q2hr5nsz9+KaXcawx
HBDaI0hPAFzU4pKX+p0Ga0hRW7mgCVB53GiD2NEM3eXrQE1w0hw3dauZKO4Ws4znJZuQQdGFuIYu
UBwDEpavUIxZgcuA5t9UvCU7l4bzo9U+Pgk8AiRuuC3XS7UW9kB6Bkg8xTyXxznphrzdqgCFU88q
dxiy2MpHpHhZqyFutRqXetpMSWZ2KF+iq8GPHZjFNXrriHdvFVmiWs0mRKQzE7u+lOQncOewTbN0
eSlR7h+ilETfRpDxbyFektWBw4lDFOENWaDyxgE+OCi74K4rzQfA6eVemdCTulzGMMJ9sN1XNBCo
aKK0P2A/0APajDlpywLQDF59vU6x/sIhdrSlQ6MyIeu81a6LxteglOkT75K0b1Ko+ielhggWHQhQ
kSSf3kD91zuhoAfpb9igRG9bePNIV72hox179ajTeUyzu4V3E1b5GYOVwEzpCblswAvO836C1wAj
dLxLPRAff1hjZEjiNhlDt3Sn0HQ9304AzP3yQphbs89sSEdx5GPZL2lDUh0uQVvaLF01Fi8BygZe
G7gNXkUsD1sAgdGGsrEMPWu0yHXoTsY7qJh1Hrtsn6bDWn7Nh2HBojIpIZ3EOpZ1YdaizgM/0QY+
pxSgTQr2C5g0ynjQXh4Zbdw0wOvTDIhqp8Yf4RT4Ym5htAIg3M1q9aKDk8qoAMWkKLnA7bgGJ9gg
lNMtnB5sUi5oYVjicq1fx3IllrcwiEv0fYgyMcdvOR9nM7bzijFi0S5UiZmnb0ZsNvI1/opivlnH
FCVZvakOK8ORIL7JqwaK9eVI0pyGlTx01Nli+mICusVZzUgp8H9g9IvcXQXLjIb5ivuZyLxxYVUW
dv/P9txfHXK4hiBALk+ouyR5YcBeAv9/dl8hlZVLiPTCj35Ul2yT/Z1xSbJBwyifiy41QNJs6AIE
MBiHRfdvPsBf7e3LBwAogPAunj8JlxCm0F8/AMs8slGUFd/F7x+g/5086UUlccUFI3yx353SP+Yn
/BHm+H0OwOeokKyh3fLLj//7eezx739dXvOv3/ltVMJ//ITHH+pxHn8u//hbeLzoZfL4/Osv/eUv
493/+HSXGQp/+eFv4xz+i4ENjz9mI5f/4j//Ms3hL+Ms/jzNIYLG+6eL42/jHP4PUiTD/DH//TV/
jHK4PBwMcVlwiOAmMaroP0Y5BHjwEUgijAhASAYx7OzyrPY/ZjkkOYYYAl3ERRbGiLQUuALg2V7G
OSQJpn5E+G2wvEWFAFX53xnngMz5X519xK7wD6gEgsYAnP6W4EQCJE5VbNJTJktI9RmgCT0s9rAh
cnWWdMqOWzAi7jyuq/8OD6y4zkSKdrKMovVxHA0woFkFH7KQaOSytLrdgJ495xzyRZ2rHBMY5rS4
7aSdHz237LmfM5hNxrJTT/Po66gI8FJe8HMZ5ztEjKdvdub86IJSs5rx1aEiNmr7BCkfNIxQGHTE
ifgJVIU4Y9carkiRyINJZhSWy3AzZjFrKkmw0PG+O0d2hqrKekCzfZAnbRzQ4gw6Fu4Mke5uVKU8
KFlW136mlkPDcvGDC0wFA1CEN5FnUH0BANrajsm0j4tIHqIxpm9RxarbKBD3kUMjQeLoGRXu2EY5
yq9hgoBQh4jP/Uy8R+XW+7wpIzvEje71AhM9SuuIg9VA0hpFnpbMHDIZqu+wmaZ9opGvmJiWh8GM
4mVKeY5Qn0z5QfWOH+G/gtJNV8hThY+aJYrNl7FkBHVAtz4sI9s+K7/6N/ReyQOF83eEkqpv84S7
hyzHyQGRyfYQxswV+s3pW58Y10ICKPbKSnsoIoHDoM7VqRgkcPoVXpBIzfegSmqmM98klbrCsIRT
Cih/ZxAPAm8+Du2ckZteqP4UlMEJJZtosWNuX+CgTodpstlPisoZ3c3CoCqn6wFQPTnFiM/fI8O8
xfsq4OLcYdkOdsnGzRUsG/5KPaveiylHSBHUPMSrfH1Sdp2eK5Kymy3Mw5t1DtGJG6iRX5DZmq+5
CeVTOqbqgGIiruoVGZ5j5mTBayGT5GHzBbuhNN32viggRgaqLB6RmY/Q7yxT2bI5sRfbNryvNK6V
kS45afiWyk8DzOeWYCDJET5lcpUvSh56laNNLwv2NiF/cTtQlT2g5NmOrvNoywObXMVrdmE6R3oH
ent+5ltSNcAH5KkPzEkN5CIpDll5G08qfh8w5fxmoqk4IUiijpxLtF09JLb9mnbZnVTrVdytKS7H
SR+DcEFBSzEBz6AegPguol2sSPEBi+dHNrn+RL2C8eD77DROJN0XpSpbXwzxa5KKT78mijYBTeP3
ohyeR5tsr/OsPJq1IXwYuzwfUDWBPUayDCLjZYTCbWejLGpWIL4fcJj4fUHFhH05SapP7MPdYbB4
Ed2YfClZ2Dc2CfQOzXJ/xSm+xDVJ2Ck3EIdLAOxPRTIvkCeQqa4XET1jPvaJxmt+HlEjDuDcGjAk
/QBglosHBEjlY0bkMffrcs7JNpxQnqGUUEag/KuS92Ws2KkAq7yHWDW1xbxA+Bwcf1RzmP7YIP40
ieBds3Xwl9GTizcAHu6lGFTwoOJ+bPCFFgChOwEnDw3ofaDdfpX5dDVpdD1NVe2zhfcHAv33BoWf
hLXxYAmxbwHmvCCqlUQPPERqYEAodG7kGtrbIbT6M1nQ+5I0bKEbFwfoZW5nZWSCHVJ25duCoTQK
GMYmGSo1PwIk9vRum0dxCNwCksX7rGi0dfmlDALpSzGlwwzbjN5rNKZsq8q+0M2nvJaiQj+lKdTv
YGayhm0UXlGo8zd+IMhdRMEbj4Uua0rRDjBZFTVWgLCp9JA3MmBfIHKHJxmi0RlDPtUxF+M3CYj9
ioxd9ZBBLjjNc+b6Gpbe8sCWQIA9GZoMzetHDrThwMOsvA8BMiyNghR8a8sxbErSb7JG+iDfwRyt
XivsGrcbmIgvukzZdb/ZrxUimkfsiFuDVs3ezjRluJRWfj3zHDy9D6rr3qT6fuFkuuHhOqFjYxKq
fK92YzTTfVRB7tviTu2yeUq+iLWPj/mCo9SkHPed4/EPDJgxNytGfnykyXTZXGDHvnW9ZC+IAVpZ
50xU+4RX9AAJEpKSp2sTRKS7jyJ2YbNRGVs6uafQ4NQPXba13i9qN7u4vMIz3GHeODl2d0nBV1xo
0Qp+Kc1ghodmO3iamMMAzfskqk29SAP+JFJ8h5Tidi9sku6UxSQahILDDbJIMKTwbtw+n0Z7G1ka
n6uIiq/oa0S7gpyrbYTtluEWv8KYC3UEL4iUpZh09S7ynLX9sIZvkmhyxMrUncgStz7Os/vN8OBT
gWM8K8Tc93BM5ruIDfKUpQECASDEH6Rfyxe6lmQfhVP41FkG2c0WMDg8nLV90hX6Vvvp2wAd4zPc
DJZ/o5cN/bVL6QHjN6J2A7ZYx3NwlQ1hDBVrgNgPzvsygymoo8EAYOgFCx9QW2vs/ZzTZ5OhEKm5
gVnYDEm1PEx0ksexwy1dO1UIUW+zhvBWkHL6iXiYOFnZxTWmLQTXDMYdjM/+3tpBHJfMvEN9pTXW
WoggJeKi38SSv8PD/AiJ+VnI7R1jHh6HCP004kYK7zf1Jw1dZYc87HM8UXVWXVE8WyXiV8HX4RNT
ltwXTfBCO+QBLnXmFy3OiuIozFlN82SXg8wdjPAblFpouKFBIp65Y/G4pJBVWXftEGKCEuFMeT8t
k8/f5pz8NGBhS4SQV3xxYHJitQ8AFzRkDA9ITKnt0KMTu2FqCsZ3hQUUtVdlkX0hYj8JhNnPZSA0
uikew+hMxFVE/XDGg22K98xn09ewIJTfE9fJq6LLIv0Mba0jB7kJuQ0NnDcoq5gTkPHvZefm4CWb
iMt2UYdQNHgeeMynqWBJOwShB/gxDnubz19mxA1q7ahskcyH4kTTL2h01mPOFFKY/WJu8ZtuX4HB
b+CmnplOr00VQ14KgzGrBZz9V+jrwRG1yMuwdXLXYejBGTsIYlcBo4BzZNTQIfK3tqPTrca3ed4W
5Gg6tn5cwjZnXeVBPaeBOUSD85ApL+UWhk4YBCMTfcXYSZA9mG2kTkeyHAFopQ2odnaY4ac1nqQP
/dbNLZ8CetpSRIjB2JCz7mN2XkJgKJHEQDOwStcdyeEWgzn/apJcNlAI/YFNlkFFm6sdgBey00yO
u5WkymFsiMBGRhTsdXzNRxOquF5k3B8wxir8mRo0/Y0SCiZtDVEh+p6XQ15+mUMzFPOnSYtJZC9k
gm+xNGySDPG531qTP9qk/9/Efe/ZgPJs0exz+XNDdpkIgLbnX0D337q4X2aOXgbd/fGaP7o4zNaD
goPbPEECJMdFhKbw94F8QZHg6TRYMQEqIygaoYL+VxeXZmjVkMPAJCJMgPhLF5denild4bm3KTq/
3yei/78+9S/fI6YQ/vHznyct/IJMx5dQSIUJ3hhtBlr4b2MP0FoYDJYoMW2phFPSd11Zczr9u2kz
F1XhT0gyAhZAwCMMtSsxHRRn4hfVgRg7xQABydHwYYjggVRlXToyfkW76O57RDhOcpuwHmE2jnr/
0/fxnxzh5fv625ujjcbgMJy2v1PhXS6lS0RZYcJONQpEsue1tS7C+2aheISSO35QpKcQ/xywYmFv
Yj8cUpfDLtfo+qSGBusNx3ARW8ommYLpbAQ26xlDCzDMShIEC73GZo7K6MbMBXnsc7m2/4ODAIpb
RZg8luFC+uUMhjq9eE1bBTjaxZBjx23fB316YsXqEYEMsfIjg5jsgt4j6h1ewn8VCjyMrvH4fNBi
7/MhdvcjZMc6tBs7VFW37W0p5MlhRNK+hIf/jNmDy94P28LhCQzs8M/H8FfpKfvtIkCeAvkQsGMY
g/1L0mFOE2N8sVZHlqi11ahaawdJ+VCM/Oc/v9Mlo/Hr5YaMA2Zalhdx5FeRK7OAQ1WEd7IJDY9+
mfDl5eV01ksyPcDL+HeTw365iX47MgyKLlOMxcNF9mvWKI5myKOBxPtRph+woqC+NrT67yVFLu+C
FFl6eS4PRpwkv47xqTSWC7kG5VHHKzuUOGsqqRiCxuXzP5++3wZx/nL+MkSKsDBd1oW/LQqcYozo
pVY8xuAWTlsxx+DIcM3AoF1b31/mB0RdPmPI4yIevc3Ka4WpWi34WvLYob+46rNsetAeSEad22yu
QcSF0EGiZDtSwIjnUQ7YDXFtvlhaDNAFtjANoOKumwZPizdxKo13eEAuO84xCoc139jxnw8SHeav
Vwmea/DbY44wFwkaW3bRav+UViMxkShqtDuuGI+DOTfw5jCnYT4FmBC0H8Uc13ky/nRSB20mgIng
4uVH2XOQS5Fa9pD6QeMItqKQAeoy5UP4JULY8DarfPq1WPv+SzblO6B58VNU9Wh1NRDHRudEPsch
+oVuw5602M69QBCO24EyfxBoRzBI4yuWM4EmJMvuqImzI6YYjlfYXbpjr0i8S2jOMDEBXtWYMcQa
8YD7w5yM5bMmGT9xqFftEE0dVHxKPjtsPE0/C6guarN3CljLhDkpRXrdl5M8WJJn6CAAcOSpMk1u
8hFzyyLkPYQeBeiRoZHTgHENSKreoQPy3z3cCZDr3bKjYkkOGUlhkfG8i2Eqq7wNii19yLokfFZm
7r8UtBM/VdSNDlpP5T06xm4AyDKGST0OnXuDfoBWsI/1Ec8TlyfuubveEBG+y6Uo26VkiFsnPVvv
zDKgd+Ay+wBYvgsAWzYdET8CEZQ3wSCDNqUMwzUKgNw9Oj+ZR9NOxNUJUVjAk0SROoYdvyDer4M6
KIZDqPj15Xy2o+SqwUPoURmO61xHffKedeDlUteFJyow/hWRBP8SSLHE+N9wu0ULDnwfbgfGcWB/
aQAoJQdwBuUJnWHyoUk+33Ocp+G0hKZqJkRNn0WKqAIMT20lZIcpST4gxIx70cVBmyhX9jWMef0C
69UggONWfDWO17Mb6XH1Zt91yUNMerPD2mZPC2DO2qPLL6E6xN8Tje9cQ3l48FreMJJ1TbBa0Voq
TWsIissO5XWjQ7RvMUc9TdO0Bq5AnwZObyCNfoWJEx4xvDR8JNEG+kHnX8AFfcQ9kgGrhk8a8Lx6
XTKCOS5aR9eFM+t5QFNRj3ZzTR8mtDYoiwFkhAQ0T9BhiQL9GvUDYDc+wl4pKQbzzeAxkaMj74Hq
PD6MI/suFmnTCYBntQ4ni4vLrkWLbUjsGS2hAyMvwloEu+KDni+94TaO18AWQ6SZM//BIeM94BHe
RVkPHip2DXZI3W1gNbBMzdF05SGanrrByWOEXPqxGHG75IEfQ1FXmKEhzC5e467GjNGp3sCEwfrh
QCpsSv8ve2fSHbeOpun/0nvW4TwsatHBiFBotmRZV/aGx5YsziNIkOCvrweSb1857JQ7a53nZDpT
VjhIAiDwDe/wUCTW9ARRWD04cpjPgAfL01JGI+l8514MpgHYeyyT2EtMeToBCbs2FJrBUwU2Ewhz
EQiLEnIUrP3W0qXI2kxr1InW5ZMrzWbvmDaNvTLtdm7VunGhJgp6zpSfWH7fXCCsRbUAsP3Ga/kR
3ZOy2+bkimdRZ5Zbv53o2PihAIFllvukkOpZjvCKr9DwqLZJR1CworK5GVpyf8pUFChTTg5rBVNl
m1NHdW22dzzxcBYAMd3NsCe2doZ85Tqa4q8V9Z1rmxf1ilJ2D0krQdsXjlQrv0OxnrdRZa4HVRTD
YwY4Y0+qGtxn4J4QBAqsO8MkvqjaLrsuy5noRBLytS1NY59iLnf3orM2WejZLKZf3lap2z8UhVNu
SxOUbm4QFxoeBcUKNOHp7Pblvkuj6R72UnXa06J/Wo3MPMCBZe8ZeMi+I/zyqzY5WyOX+1JOB2Jt
Tc4CAIMn1CsDK/Ydr9wWwP130SB58jLPrgFfz1tvcuxdP672jk4zFbSgS8QGjBD/xo4q8Vfq+x5c
BIc7KSfQPlKOPJLh044fnWBN47EsvJ2DLvW1xcYQryjJnHSjvR5gtFVxFEywGGCJx13iRxviyOFM
IkO6sZxMPRMDy/scANLOae3+rMDnB+0az7VPLLPuT5LG8M6hJBm3igtkW2BPhBdJ0HPbKvO+zIkH
oiDxs/EWCUf+X5lOt4Np99sBgZoHM/TORWkVwLz79kQUNrISxIvOubeYJ2PPpmBR7b+CtObuYQYt
pzX4plhWRbZvnSTbtc10ZyW0I+dxhEhfzt4uoMA9JA24dEBE8gQUoMpOGP6gfBzcsM8uBlH3ktXs
jRs0zya1GWtA5YNjQwqIkhpaibvQNAGcZrvZFSyzpV5fVWf/k7D+1sfhHy14ojbE3f51vvp/q6/f
vv5jqqbz1dd/8nfT0cUpKER20KdTSMb2pukYhmSyls2LQj/N4k9ykL+bjqSr4JppKpoQ/324/P80
HXFYtQFzwLHiJUG62fp3mo7HkTbfolnvlk1v0zZ/aV8XVme7wnGNQ2QYVK3zQq2HKXLFHyLg41RF
XybQTVKuZqK1fZRtrRZEMrlSaIImb92h1wZAaTLD63pG+/e1tEKr+/cZ+HGywrXQwCXORviXSoA2
PXkbhjIXaANJJzkoq42uTX+Ql9CNoXat5vKh82sKyG8m/DcJsWP9+ni4dPiWRzYR4tihfb3eXnIp
hddbASXeXA0JO0bfjhfQzVLIPBBoPKBEc3RvwuG39+YESAwAKOLbJz4I8eak99Ip9qR05820kCR2
RT4conYh1lfRYH5roHtDTBHRCUi26ISQPj+pfWXHaAU1Z0CY6puqRKK3MobxkzX6zRlNHKqXCSSk
RI35lZsWHgo+aZOdqB6AUZ4K5AdHUd/YqM98h7653melO9yz212ak8p3c1A1MX1Z87DaTnnpkqeF
cVY4040tpvp5ddb2enXm4pNt5gUnalLtvT5rgH7VMp7aZj6YbYKe79rbJ6E0CUMQAKWYCVa9Gh1x
HlhjewVAkUIiYJ+vZpUah8rX5IPBmA+9AuXCjhYltGoNu30UIRGjv9YLRLY1m2jnzpQwaVjsTWEP
n/PSiOZyu2RDIIA4qhmNos+RZ3tKXGRNV+yDJgCJOSes89jM0C+nQlk336Yh6D4XaLv9VUSlfRuB
Z8ni2RTRUxEiVrhB1CiAlGirtoTXnC97Wk/gwJCRyL6VWRV6MTy66tqsAKoT7KftRUCF+1yBR74P
1YoUbZIP0Bk0rbBYIQK6AOqvkRe6zZbcpHVeqNuMwHwnLHP4jDCn3LeLOVI68A1vs6Dq+DTUdXaS
NdmjGopumyKMcp5G4QRgdfWyeicYHIL/6rKvatq7jm3cOAh6X5hEJIJI1yrhYkjT2JZ5kZgbo0Vt
xs+9Uxpg7kHOjdg5Ki8vzCKdnlLhj99KSxXVbk1Xv9kZVDnOGAKBlqD/2I9VPAPgv2oqMk/qwk+m
s8zg6tzzxKC7V5bpp0iAFusTWrE0csEnwQABJjc3SH65dLaS3N8E3XheGIMLRnxMEaMww+IruhcJ
Hw6+OMnkbAGgK3h0fn+bzJV94Wfig7fMs7UJw8BlafP2LKDgUOUnoy0s+X2pA2PvDcZ4WdrN+m3E
mCJmZr1vHazLa2CDiF2s43jbe6MRw2K+Rdgo303e+mAQgVzZKzmHrVZxRaK17uaItnbTRFOcWpHc
q9q9aWayLidp7UNOU0661Nllph4bmlT2JpETICp/gpJO/hKSDNAeKeS2TOsSoSx7UmWsqt5fL8K5
UstpFZm4HcRU001zkxjApu5LMSOGhqzCJOaUgWj77aRAXty5SJalI0F3sRDB3wVqzHaRRdFfByoD
dK0EUYuN15v+JhrDpjmZJV3ah8VwEYdEKcWGlxESzG/zylDhXhQi712k6EaUwsp5TW9l6WkZyS6X
6ZXfQ1fbtPXQzB9SeB30jTq/F9l5lBgSKigiYd5nu4Pth5pGkxgZ4S1S/PfFNBvevoepHTwFC5QG
SMboHJ6VCun74WNZo0wAzDAS5Wfiz/JjJOv8ZDAbtuG2DkjFzbG6DxJlaG0mO1GbefKdMyQWWnMz
r3KeNp6RRSfe6MDZsJP+wloW72DXhknHtFRgSus1su7srE1J7nr910HiJx+VmuZH326IzRur6fYw
vJzTtoIfv5lcyAHlVLmntKObM6B/0W6sJ/owdZ+AI4ei0p73rgsXLZCBtbd80VK3zGEldNEYN8IM
lw09IppWSRJ9gRdYx/1oNB9XgcDrxmuMCaitnOubxXG7767vhhfcSJ7uS2SwYK9E9bpF6a7KdgPC
yKdweqPrysv9r1UNsBe9SInMsgjqG2MGvBGXqOg1MerR/M4zxvoZrmV175jj8qEqCx+517VuP6Z1
BntagF2y2DxKf+K9rbYvR91/osA/RoEu1a53o0Akrd82OhAQ4l/8CAIp7+EiZFMVQw3JdDHu+btn
AbD8vygIWtTSPZtSp48E1BsTIcS4kbIhk3E8qkr/Lwb0tL+QGfFbpJhcDUv7d2JA3TF5U97Vt2Mh
w0c/ATCEy/GlI6o3hTtQmaqukTP5nplrVzxzliQOCIkZixqIYWNhq/sCPcZxL5RTgXwW6CE9LknV
oRrakkrb+85wYV7Q10M7DJOGxIQcEFYlpbjBrDFmiCm3+6sPPhSCoAEURSLnAM9sgl8C7W4S9jWd
hg7KRWp2xvwpGyeITsiEpFgFuJBaoOasE4CGE0ekUMY2C0cpcM9qBpyW7BuJkkAeK5GR3MVvJvI3
0Z31c1kTaX1UmGyU6fivxxF6PDot2gQkyav3HYFLGVUUNgNg8EDTHUKjKAWujdwFnfv6ufeHXN0h
w63dIGx2Sp6nseZ0+fT+Lb1U9v+pJ3NLQUDjIkARCoFfBKKOJiwoSPBaXAaegB6gPdi5IIHPVtRc
yZIzw89hbteADSxgVhm8HXgaS1fCfabWUH6FEq1V2gPwhcUZhzl4ot2apOu0XauFqdiN45oREVJY
BVTmryWuTutaWnysJjMARmFCbQqiP0TRP2cidO0YZDCJ2iPSirBS012nN4swycolN8qq+W7OwKI/
Qk002tu6Str1w/ujdySqxoUckn3UhjwQw+Rmer7fXEixx0arvyRPdPDwhN91VVK66H6avOELiBH3
ehat9mhSvlehyt4hdCZvOWkRe3//Tn5OG/QjO5TP6GPiok0f51heyXJSZUZL4T9JEQ7+FdWZAqT4
UBtQXs6Ix1bvT5ZHemG8WThckc3ExbuGRUjrMDgaZBt8CU1vz35arFTk7nebUDsDlNJNrIW07fVj
V8qfMDV4/1GPUiT9rKjw2+Q4HvI3vFNHo16guF3O0q6fROV6dXDIo6T5VMEY72mn0SZIu+slWhOz
vmhzIFDo28oMd5FCBF2HnVjFzpFQ/0vq6KYoaLNQ4ATEWV2UMh3AVU6zi/vFH1oavyxJz/FDNl4y
dDNgzRzds2GlBhzpwHmsJgrLaturThsEyHDVUszvD9Cv12Lh+/o/duhxUhxlyLSABEI6pXgEJj+F
66YIKjTvE9vIWRLvX+qXRUCbG4RzQNcQxDEW4T+/AFZUhjb2JM1jA3SGwUXIucQVxVIGouBt7bcO
3DjZIp///nWtX5+RXqtPrkjn3kUa/+jCiaH7qINnfFs9w7JXynhePsGFCzu0/mLLqSBoH3hNyuAr
oi0IVGx7COhRB1x4seVdjpYw/BJMC9YR/zqrACLW+LY692rlinD7/t0y00cvi/ZZ8l4mPgLaTVXn
53Hy0rkb6mlov2Uh8rU+2itqXD8IdCCYn1URx8uTSHRYECA5nrM+RAPlgxzDV4rNMirdVD0yl3Xx
7GMexjfkiasFiqXl0mx83YBphLC7AFJJgSGlEYwd+OQBCjAbWY2C2dH2axzDjWNJZiSrE71FGwJH
NLW1FXYHN/ClxuXzqnQIAcF4TRgLm9Ivm7y55lpB2HZ7jxXbZ3OuSyBuUX/358nKrQ26p2L9wIKO
vIcmb3jjBnxAuEcQcVEDDRTe4QMUpa5odpO/4B60UqCVd3LQJhqi4G9QnYZQzZBkmd8yZ3a2wK1G
YiPLSxUXEDk1HyfkO2hQmUUBT1JBa0K8SIOl+KRv5VphKqctUPsnnlyy8WaE8MdhpvpFG2OIwS3w
4ijSiEv/rZzr4ImAKWGqOv/Kga/ffwZWBLE0cWWfX1ZuE8L4sWiPnGfQZ6azCWED1tKCiAJDl8sc
L5JQiozDEms7fWYitmmziXQhxREbFn3ToQf84wG8YnyxywoQryu2pplo7XfPbFh+Ykn1hvlDmLkX
ifa6yoNO1UUstKj839/RAx4bdg7dpDyLWXIthEJK6h5jMDm59sBYuoyNWDktz4RVkR5Vl3I/I+eF
3cQH5nnMyrOmGiZsFqwsMrmUYwREbYpSOKPYqaDn8di69HJpo5FTy0EImUVTJH5R3zaj1wZwDx3K
XP4GgQmbd0oiRMaqSdGZZs6chU7eM3wXKwn2YzqWoXNmuEuuHvt6kYxhu8iC63vs91byMaxMnzFZ
g4l2+mlCxUFLLK+Njt0Ka3H4naJJqx+iiDofnXWU0RvE+NG04Y4DW7IL7IbVefEBsxO9fgfK5zwa
WWjvyLMIiiff0qrW5VWY8FTkJyMdA3ZjaN8jt6R4ev5yngp9L24Er8yPfeQp1KMKe3RTtw5y01Q9
qFBye0WdhzpuS6RJh1lofs9DPrn8EEeO0gyywo30GPeIlxTP0zJrH5w1DPSaqwgB3UMxLjhLQGH3
9RLVobW868KGP3srrHiBA5BpOL2IdSXKQHia91wNatWbR1YSiBW9o91kMlA0fOmAuCQz4QniRtie
neXIO4gP6O3tshYrKXWQiymK+lITiPnCfhAD90ddadKr2slzzQUD0orT2xJWsCC3hXlHByXXMEUA
JHpnyqqsWPe+ScEEsY3O2Y9AF0FDs7arDPqq2a0fPIV4ix2Hgqq1u4tqyhZodr8Y+PieJ3Xrk5Qd
qLKP2FJ+jZNGTnOHWF3PcJPTILOgmAVCGqe5MKtcbZahH1sRLxXNxhnlDxFwj4khmJveDfPWg9dj
aaO6Blhe2n6kuZ+4tJhFGy0hNaIcc50dGzHbzW500gJyZtpNbRRtpldFaezlxuyQOMWEsOImLNlm
/cd19gxkjNlsFc+Mbk25kj8P2ZJl6QWAo8kKrsaFuiqLJ0czkJU4zuC/9wCB9bo0sSZjDSVOjr7I
ebu2K7/rbTkN1tXqoTR/L/qGUdrWJfMBPN80rKm/gk9ns+UWTT8xS43lohkJgLme+a6oN/UuOGno
KLtOjuy83JtjN/NJUhhYKptxSPS+VJpSlzvHQkeEkNhStqfOXXzGb8xQMbiSjCLvgmWPggUl+8FR
rQY0a9OtEB0bF6ilWLnxDAoNl3ZxieD+2S45jqTqAk55mIpACnbg//UhO46TNpZafC9vDQ7lQbE/
qDAz3OvFBJCVos1Re+6h68eGRwrboR1Qc7V1tIJObakewT+QjfzIQ9j19eAgWQvO/KSk2ttj95oV
s2OcYnq0omEUhk667ZO5SXYu2mr9x+TVIKrl8Fc7qeaAOwbCbTBKLT44vNjFtBJOH8J80iP4Y1kD
ZtC/Uy5sO0AT0FC5c8y19HYvoJmu95bBqoTjEwzRMG+IelOT99NIc95cN0zor25wsQm6Kztn292K
CGKlsQlWS6Gp3szV8NGsl+ruJ7Mev+nAefmtnLrHXx17aIrm/RfKrv4K/PX3Zj0Qe4Fso04wUhRy
vLlrNn827qk4VlECGqUV98zRH4x73EBVEG+6wVDj55/se4reLRdjE1W2SnDE+dcuPhFC/eawT2h0
tuevXj7+WF7OgIG6/Vs/n7SgCMfB54/BmaD8Fm5+4+qDWEKgxaQCG9XAd7x90GW3GtqdYMRzYCmO
Z3x49fmZRD8ULViTQHX9LoLL+7Pdj2u4Yr0fG1b1xntr+lMhkTV0JwCH03UBsxeArYn+Nw5AhQfw
Lp6Crg022ipjpO/7/+8D1IblZEPr8rAoQebDGR0jvRpsHqb48CP6NlWFv93tnNYtgIW5zfWBCoej
7rxPs/K6zt12yTwg1tGaZkqM8urHKBLIGN0eRXodayIOTL33ZMD/Th8rERsJL3cf6vBx4ADndcjQ
TGJrALapI8zcUImV7GmXzykUEQeacXi+9qk2e/OyXnL00HPQFjNj46U2RIog4Dv3k4cQwbpBqk5n
DkFhAQNAoPTFNnLq69x/8Bqh+/coawVldAJdhVpDN/Ue26QnBJF9WFLctE9c2yMKnk1iNwNh/7lj
LyvCXB8aiTFrYg8CA565Q4bIX50D1hH4PR4a+prsKfVUmzwocUlIvQmpyUFviHVlc0bP9EAJTWYV
jQwQug365MSjZuFOhzQLuPYUrEG7fpTQRPgdCgMLX6ZNzNhmBI6y3L/AX4cdpXQD7TBqF1bEHTVg
zK3hazSg9AsIFP2j9d4ep8H/NqP83+59uwiai7QtJMfi2HU6lmq6QIcsWTRqa02oVv5oPU+GUGW0
BdKGIMGG85C6Ae2SZGFsI3PwGH72cC3C276UexAE1qfUjxPMhQkpaayaumLhR1A1G8AQibaH7VK3
iNoTlaPF9VxNBgPLNlPoO5gwh2L5/D0Sa49j1mbqnJWINGgyvrGlWYA6Xmk1Skv/GAjr53FuEgfc
evWSeA/Aeak9vU4jB6Zl3ZP+TeNdCH+BJ3aKxmKOENYIEG5o0lLO2YcVLaAk+izLwEPFDQhXWs+n
LuGovFsD2OkZ7a1OF5+GAXJqdtqZjQ4qzJFO5byZbaVz4tDvWSw19TprifMZcaFx65Y23nopssAc
l7IFUOgdzC4VMvwAKsdu8ws/CUzuR62ufg8c9Ht4VFkSZN5VwtWvCPLLuuCFVzgfSCSCAF8LqyI1
znvadOjPJdg/2Se9HYAY2+I8oE9XlCpTDk14NQSqseN0RIG+g86MFubT6xGz5YLI2mQEiudkDRp+
4O/1p4lKkFGYqzDguLQy7guqOtQe7oUifqqDeafTd/v6epQj3a+7appbJnUQOFfUKEI7YBxlOAOX
PeBeDN+CVgZroYpzRUxQ7N3B1Wu3auyouaxnK5UjfuwitJD3GGuoYNtqRm84h+8ka67VrEhp3Zkv
TvKFsHRoHcmWlC8Nonz4KgdsUuqNKKduZHNRs4vg7GyNZYOCpM06q01bJ4FQ+8jYTPQLmRDhRoSX
JJ7MMxpSK7a0s03+BPxB4aC4oFNUfpWZtTAoyWvkI1JTEmuINoTzcpIv+M+o3Y+MOFybiMBgSVMQ
gbsGkD0/peQsKGQZyME+amPS9QO8T9OMnazLSEeQyMN54xD6nTPd+WvlYINlzBbjT49JJ90BsGai
sGGxdJKPooAO5NOuZX0kIkmZtbGmoIvecGisUZwPEsLdHnnSlj4eQQh7wGr15LzQdbpmFjp/YDn5
HpentJeseqvs2JP9Qxd4yFDsUEli6R8Aj9BTVFgMqcfXV6+RlQ6tKqOOkKfG4gyvM+CtyBCzMBA0
5jaNxFF6SQZmODfXprssTc+ArDrj9rAxZyBn1AZ5xenWp92lT7uW4FXNRXqCh+ky3fhLsCJCjFhr
dQhppouBg81wsfeDwS3ZOgGNtnxN5I4De1XRNzoStRubXTyeX7PGpYR8lZ32hbTYpAj4Jx89sJnd
eYeEis4CXxOLKln1TbeY9qg05i1T9KvGcCXjdSF1stBJkujox3PWwCPa5dakb31qFk7C3ZJNyTgC
U21c3HY6iiN8cFWsKFy99IY1Mo1GFgPGyPMX9Tqx0hnIHOwinXbRGbp63TmiRehAt7bAGpd/qHH9
pmYEZAexeBo6gQe+/OeaEdQ/pDaiav62JKPOM2VmVJm3ReW0ryBEQM9jSt8vVB1X1ShTwXD1UKZ3
EVUlcPr5kgpt79Acad572A2xw78ujSo0dK3y372UxioByNcNI43k+flSdpaCeKY68Q0hSb0/tb7r
SIJCNmv2rvev9VINfFurxjeTwqvjobzggAM4LlMK0xKV1oL5tjj1RCKDXIvNSvRGN+M1zIZaWxyt
6KSVX6fGhWq6mZBAgVICTpC8myqE7mxEpLx673ndmX/0PhrUtXSIFHiCMwGswcxP79/+L7PiUO22
3AiuH+n4q6nAmy7DMiT1mKL28hVF24X74IDSaSGHKynU+5f6Zc051LsjWkF0gmxYDUezQhiV41zr
d1+jLHQmdUgUulD3MPn1K+InEEj/tOSOWyhgnCwIJ7bHNSFVHcO5BtzNwpRewVcMCPUehfgiVcQJ
XzoOCDvSZ1YS4eJJMKH4+Ts+kuZwzW4H+f39Zz8eZrqmEK4o0tIm9axffIvnZlzkHKXOF2oS5M0q
w0fsMQTvww74/pWOR9n2HJOndUz4ZXSQjovXJYEhRMHC+jLhBlFeIjigU/O8cB0O+czWUeP7F/xZ
2oYGDU4mlJ1p8mJgTNCkH/3NChqLcGUzUcOXAeErVhA62nqbY1PURuvJ0OMNiFxVqrIoDkov42R8
/wZexHPevoGEWtpSHoJMEAY8+vHO4qZZZXVB86UHw5w2O3pZa7mj6pFFBcKGOmyRQ6ZDY98Fka62
P4rihjfqklftY7WXnc6vg1MDQmOMKP0r3uIWT12yhfXVrRezuDZEo84ZgV5scqvEb0Tre+nDUqqp
lS1YBpMXf+OwOxGLjMFE8Qg40gJbBEmDpthhCZXb42lOazlEkBjnAS4jgNGwWRgYhpDFAH/Rxzk4
CmIbGAT6iO+6AaXBOHgt0AtCe3ZNvAt00IQ+8UvEZ1s6WE4KhLWo2gjgZZTH0mKgMmlLHJQpsjQl
Zdn3h/+XBQc9Dbgo7KTIRlHheLOdyCwyw1zV5xYHRGLWFENjEg7o+ToC+FGyfv+Seqf4acLZapG7
pEcDNwqJrqMGDT0nuF0inD9HKXBWB0WRyC8vPYSPSuMKKQJtqexW0UQStVj43VGErWp9N+/fxvGT
oxHqmuycGsfJO3dMbGvA6s/MZfa5bCl/nuUItdSf7HJG7dUW4x88to53EECpXuBQKfIddPRc72iR
+5aZ5lknxBepXebuvSLQy6IoUGZq/vBc9tErzbfD18NCwA/ovKF5exQdpPNiVlUj7U+NGM1wm1C+
xFs8pYxKpovADqfDhoZ3zf8EFGxYl4vnRPckax5KEVBaCNLPSXl0/77Dr4A41FpdHajnKRkKhAve
iqwt0AaN3cXQZYBw1JT3Uxn6ukwMGotPS8NyeDgDbx33kKaG7hRZstb7NQlBufSn6Prlqto3LbyW
y/cn92i8GYOIfQXOHh1IHIyOx8DDGCdCLXj5NNXY4yLa2dKqAHM1t2TO71/KOVrPek7ZvHwAF2iY
sY8eree57aipWm5yF7rty7Umj9JpKXsd6k9s9WxBr733CpAOo9Asja6S/vhpkJOuEBgz5hkPnhvo
eia5oPaot2s0zeZTo8R2bb0QvKpQOfKuLucThZAa707ZJKTHORZipCU/Gn90i3QTyagKm3dnDc2V
38m21hO+egVXMV468XAR9IWlRQUUR18tGUf78dXiFdqBnneY17qw/KOFxhvJ2i3oeXDuJQlVDmej
rHqmBPL+kIY/T5+WOwM1YEJmhOiMfsLx9PU8ASjYLnlE6jd4wPXNQwKT9ujBL8POpcafoerrLhHC
wJgrbjs3aQ61XVb3UDkBjjbh1NA0hcsTAUnE+x2r1E8J+av4UC1CZnEWSnCWUXFTN4H5KDtXdBus
hjMV08vxr6WXtOeZmYtLTqRsJVvPYGUZonD+Wukjy7MEMwMc1IFZuluqhuW9sRojyUEFNDEW0fDB
5VQq925lOJeBGuR27FS/oyde3WdAE86qyqZLUHQjtt4t0iUF3L3qCzgA71yhmJqjidybFvyyIbiz
OZ+/dllreUjP+hkljFSIE4SWm7s5cKb73HGQ6QtNw22Q+vO6z3BdxFNldMNH3xWCsCiZDsUyYblD
kwL1C/pFSwwaMTc2k1vLM4xbd+OMJ8EmzIriryn0farmyVRux3lo75BmoiSGIQmyxMD3YySYbtxR
md9w6hNfLHiDn7LJm+Js8evzMhD5DgnO/Pz9FfHLgiD80ug0IhX6Qb+E6ZMnIIG7Q/3UNyg3gV3s
ymVfO+iw/2H3fAn4/zmdWHrkU7YNECOKYO3iffZzQLTYMGmQ9MyeLDhUKEnb7KKbljwgB/tdIRxl
18ltjmgV+G68kbutI7scQmbu+cjBjKChwLD514M/RGcNrg+fOIYE4QPCdfd1zZluj03dbezRcm9M
WTTP9eSEF0gSBTfSVvZfUUH6trFay+xwkE2vnRr6EMTH2qeoUdKigiFNvWmI1FOhhSMKzPf2VuqZ
X9GbdOKVvOrfChFeRuRl9AnTtEHbMZSppfQWQB9onnhXlg+RnTTlDsoWdHPEKP1P70/0z5vp68UC
QIo6xCJ+Po4Gk9UlrB6i5sk3gxp81mLegau1xaauy0vpOhO5d9rWN7Rnway+f+0jEB4X12EAYRAL
ACE2+zgksIxALC6g+id30qssy53sxGmL6rCsy1cUkpFwNaJlO9kpzrL9YPgHML6wHt6/DU8vsZ+W
YKDBmsgu2OhFcIwfHShWmdS0DzIUwqcVv4yqGUqUUeHxbNF4WjFAd+vlENTjgpC90dW3FPDrQ0vd
6lJ2PvI7EBuM69VK3YODJwv9CeDDNRQ/5JpL4zJXTXCBxN1Jg0r6HTXQ6ro1WJ0bn8aYitdxoe2C
amcSB10U3BI2yhYtsvxZ+UV+5QRdflJSKT7kadtd195Yjds2ERMCvdn0yfTs8sZotImXv1jz3rFH
sNUO8pN3cxVlcH97kwfIFmzj5JjSAgiKHomugDPxo+sZ4UWeKfcvS/vZbmg6eMsf3m89dsdjiwoc
6b5PNhvYeqN5k+9MlISZ9wAPrNz1rlCMLu67HNG+bdk35pU1a8T4+9P5q+dgQJoF6hY8EjpIQON+
viRkyWqoOTq/F13hnlE2g4yUTMo4p1BZ7GlEjOz0Xjo8dY5Z3efpMl7keWTe4Grm7P9wL79ZWkSi
YHqBZGmRkqPdzbFnQJbLXH7HgBUMO4yh4hs4ArVf26b5TtQePK1i0uYaxjclkUICnyi7P5Gnfjck
OBATmDlgI6GtHQ0JWBxRizWovidwjKatLzL1wV/xEL/IKwT7zRVDN0y8p73ys2TXRcnyOQsH2R0y
sVp3fxiT3ywJrdWC1IhnA4w7xoSu9TTLFl3c72lg+h8RghO3dmUYW+SE8nOOmOlqqvrxrHOb+hRN
EutyRL6HIm41Lh9ybCqAvDb40+fG5DyDze69Tdjn5cf37/LFUfTnhUuSwOb7Ii7jW8cwzmGuPRGm
TFK60Bqi4tImX9phxWakr1FU7jEAoDZVt9CnR48q77bIfI/xSvMtFa4oimlV19l2aOFuYHUnddGe
5kdjiOyy9HNxgNq+XPlTlp6mXpC6mzaIbFzblQXJOu3MekJ+OWxjWAJed2KwoPdFORqXMNYkH5gD
4+JlGtUyE4gUeKzt05m4K24tyD81DXpyAaeGglL1FTZsaL3RfXeL6t6TFBWIIsXHEar/aVZXDl5B
QY00H4bz1hr71Gs/IJrR0CwH4onu0kJHcITBn8ao3XeXcxeh0NbmnQ8iOsSh4RRYEXLKpp/af0HC
zR9gS43Pbm7jSiJkAfvi/dmxfjm2Aoh5DtQ8G8w0SeXRgpY1YuVR707fqXr36SdON0/EVBLxwxGo
Atq+LOkpiRWrxXDw2udsxXYOPrDdzSdO0Ip7L6rSCzOYy0/2gOcB9kQoWg3FUPEypEUQu31t/Ljr
//As7lT3/b//z7/U+AXXzvz8a55FrPe6xzF/nMa3ZIvXf/aPQBQlE3bRgG3MoYJm/0220AJRlNVw
q3PQlrFgo1LY/MG2QAXKpIZO4YMN51XL92+ZX9f8LxR+fUDaHkAQhIP/PcbtUVmNi1A/jIhm4IqC
LzWPYxnPVmDBaeof2ia1gEtix5HRy6KyPT4ov/wWEnziybeOuwbEYgzDR2yWRZVnoVV2sTmGdyE6
Q2fARsrLZaouZKgdrAwf1dLB2VSmgTZfIXFhm7CGIN9a965Tm1vE9BzAs3207yIDmBsFgZiN5KYD
A7dF/J3euRuWO6vHtiOF8qRNBCGdE+PFptmbW8DJD7KK7ibwQagDtNSWveKbb3QmgDg+XqLWELcy
GE47OTxYYdZR7JMOjmuesauT4J48+hZlmG9y4PJ0xB6qNn8mUIYLiL9uTMH5xgIzRHeJ5/G7Bcu4
oX/wwfmCioKJORs8XpMSqC9Y6mylEZwOQ3iKZ/e4SwRDI6Nkl441uXRRPlOyWja+z1DSPBRbs+dL
K8kQuDAVeQSGwQxP61yIbTLwKWlyD+SbSIFiFLWZaBcfChcibVsh/uD3Pr8t3Zs5nMad/peFC7Ms
jzCgWW2ts6oYgg770Z03WutN2lY3EcIDu0pjeCvaDeeeiwxYMyOMMIHdI4NE4Ycd5BO+5kiSAp7c
Itb3rJq+ZcMf8BpLUI8AVmWngHTSx6QyLMYhuqOkMu6cpgLbBJo21iL2e3dEhoqkCFXjIhJ3GIWV
UIYRy6W2ue5xR1kPc8joOYKLzl5wGlrG3csiyXuFDK3bi20XsA4s5dzUMgQWYUb4iloytkv+wJ3o
RubcVFqU7qljDBGyOriKtGm9nAURWhey06to5LM4p1zlwiq3fYvOUSAJLf3E11YwLKypqoFze94V
6/mZdi7ilDa3Xs35NzgLzP3KT0VCcCktA6GUMQQfTic/rmtGSVho5tpBt16iWBPFdCsfXua7TjHI
kKimxuPM84Iyi3Tvlqnv/4e981qOG0uz7qvMC0ABbyImJmJg0jGZtKJE3SBk4T1wDoCn/xcoaVri
TJf+uq+b6qguUZnMBA4+s/facCcn2y1PqpZ84ybnqgb1RzvN1ek6XCrNdi8k3bi8LVP+lWX9J0Pj
jXDnwdoER3SZ+LioIx+XlW9edtwnjiPjk+Rxe51CrEXGPrx3MNogN+UbdicuJpe78eXDqFtuCqnw
R9ui+lRh+I5i1elOSN2tyIy5aMtiiE8LrOF7wjPagMcOqXy45QMDtcgOfZ0e9eg6wqo3+UhVwXtI
0uHKHZR5D8FFOxtdnGE/hLVREIEZQOYg+zGvQTE2XGXYDpko1MW1q3OjGioHgSsAPaL7LCOV+wT7
cnYnUuvycnsZKPMOqjZtSLTSDacGpyOJyo1PlTGEJkvyU5Kq9X4GcbnpcLgNC0qPl++WymNbSddn
G9AORwiXQN12XkAoKJPH7SpfnWLdIcvw9lBli2hB/rJjYlWGaOAABm0XwHaFc4vfZeZKVufCMeYJ
7m9z9dbDy9c8TiSmjj2XEejxMRIwsj5iaVEOVsqvygaYOcqkKYfYMzi9CJ+B68lXoBXfwCMzdsI2
Gal4pILKGL1Ar7X4pPZTfQbCMV+s2dq7Mv+EMnChs5f1OS70IoKfyXN/VZVDYnGfNqulnRcn9XaO
zUVWV0Z9VgaPV0cPytlboWflcNBWeMmzuWcFSVwxi+tzrEFuMQfDDpxRNULkKbBm9KE/SpvRolOT
DDNnlYp73oI8h+UucBKNw03y1b1op+JJv0vpnhAZAPxqRw4TpCYiwH3PgkLwFpD1cxehTTtUlFuH
yiFL5OVs0j04dy83LWF3AtS08sjfnd5aPZdEb5l3+rIhCWLF9S3wzTx2JBdTN7e7AZxoUDTEhtAi
1ufZNufL5BTfPJNMEcTBvPL2WcNqBDZT8VeS6+ntzNouInMeh1BhteTj+kFTVCrxrQ7tFdYOqCw3
7r51Dv93NeWo08GYkCM8n0ylzHZa339mcmZRBmvkp3fOU9WYTVQo6a0ip4uzDTkMMACnJZsx/irl
UGrYsBdinFkmqUxyFRywa7l+ICOrEj50GNOOPFcbFMKD+/yTDkIp1HA5YONX9UcrIQCQ1UebXy9I
qk8oivgKye0jJI4MPnOKtnQOP22y8TZNTNaq+BZKSO1IcEQeLAUB0jO8hiGCptyCxuk65dTG00di
upovACk+m5naTH5izMU3tzMU3JBISNaBoeQsD8TvNDsy3pCs4sfpjKDNIbxUuSmUMOFRFLKPj68R
nK3KrjQQllwKnf7mWOPIqw5ICUflPUpuEaTwJcpznHoGcpO+1OygW0gLulgCp0yUYENW7uuJ8gE5
7R/atd8r7Ze6ZluiEIdBNwblm7rr1wa+9BR9NcFeHJxsAVK7pt8wgLgcQe4j4m3U/yN3nZn9USnw
e5f443VNBPabs4hN8KvOGTqcjrCvnQ6afDnsuAeNrPhSS8pyfI/ffik4b7/3db8CPn9fTv14NXoK
Gwgc1tDXM7dVJoQirfV0KBcukK0S8IpYiRK47OHLK/3TBPyhCWDKt3Vx/74LeNjiN/4j/Fg042+e
6x8/+KMP8Gyc1SB3LC5FFlm/mK7xmZlv1G1YzTKKCRDBuf/qA6w3nsnWG2s12J5f0z7oEDBi41xg
PPUdL/t3TNfYPH+bd1kqLQoGGYiJtkY3gCrv99vFU4ea3LNOIdVNE3euZaJmMXuQDTChI6flccuw
Rb83SltAfjOJ2hOLR+HmYtQoGvm4FEz1EbxXgdaN7gH+NVE9cZ7XQd1oOeV0nUbFmNxT9h/MYhRg
78kcNs36SU7FrdTN0S9k4gYKJ4mv2TnpeCj0fK8CTjiYBaSTziz1ByCBuIpa3QlWI6kuphTDI1jw
1B+c0QyXqYcEQiL64hpvSTj8ZrRsWwg+u1u8ZbzPG9vao64xEanlU3Wf5et0IugDhpyTMg+du6rY
C2PNwrys5/MibYcskpmIiXwdTybj0d04TAbJl81qY09S1UtvKzqJd+ZC5PdMPLrvzB0zzQWN6AGd
uhqp7JyC1uqss9oD9C71+1bVyA8cPY1QDDKyYrKI89njLHYpXFncL36H9Ws3qm0VcME0kVtrPaxH
BgOZxGtSkA3Ml1WBcTPh3VqKc6owocIGjysWNQ7bcD2Z68OMSc8KLPxgEVTvh86qu1Au6RMhI/pb
pkT2kQGReK7R6vrp0HlQuw2yyNp+0dUIXn1Gfm+npJp6JQhuWR9q0keA6WWII5TPxEex0fEbFLzr
brKJVPNRogxroFoNwaaKCXuM+RJMGeY57sVL8IZFkifN7FNNdnJfUWgcEK3Ne4IcGPNkmunc0EmN
9wrVyOgvGVMoNsDrYJACmWTW2SmwZeZb+HSkFCunKcmMkLBzwrguCsEOrRKCeEFvuKemW/v+moF8
pqQk+TXAWvD3GWJwiCQWc73WJyeuR7t/bvTYuu/XVjLw8ZBfETXik7zW5/IuHotqT//jOixXnBWC
xs6L043Zb65tP957ZLEv9lupMrl5UMRiu+Apgd9V1HFJNc3QlSzXnUlbQIpuqfM1UY7o6ndY8mqw
bKWqvWvcdr6T0OFRVGLR2XaXWk7En5LMYYZrNg6UaYAnni1CAYpkZQD8VpI0fWTQ8zUmeAj8tdd9
sdZki73u9Pi+LjHkBJwkREfkBWnBsVUX1QXqga4FVbuoN1BMbLErqSfjYOrSBmk2OOTTQqAkM4BS
ibLVMZKA1nJ56OMU+BEd1vyuIBWiAO9iGwhwTD0skyq56dKlu7G7zI1G0dJypFot8fy3KgkstBQV
XJlorgk9YZnQ3tpDXz95c8c+wuk0MjrxQhFIxZysP2IRjY+pa8dHt3UUzIzDyOArGWcr1BRtxNSj
1Q5f+VpUPpaHcUEjAConVYfxfhJOfdu5bbJ3OtNPNWHdkKybPOLym69IuyYKDKD7+vzPA7Ees3H5
wwORJ4QOs+PfPxCv/nfw1fcf+fkoNN/wFGSBCpwQ8gHLq/8ZibHj2AZfOhUbD0vT3HBpP0diPLGg
xbwkXdlv2DDwbGEHZ28Yu781AgN+9/rZZ9BngV3m6Qx62bZflWxdPLplnsw2YpbWhQlpO5oMbU0u
HLeYEl6eIfoaT9InxZojsqkXTtbeUpk8hDiQTe2hbDrMr6dhQGc/RxBAe5OIjU1SE0zGxkh2unJt
L0VKZeDsql5UpryMGDzT2SezTRKwPCib/AYAZmWfBSOQz0Ui70Yzc+JA0xUmu6ntoAXxvGU3dElI
cOPyoLjYOUnMhbUTdB4NMNEsnp6ve13rB/VcI6S2gnxQQeI6KOOGA5LUqbvNYTU99B2uh6FcjZTR
RTfBLmbw1F7Zdc8qpVm89wob6YaXWOw1mnFmAYNzHKK4DWK8gVlm7g27MPu5YwARKl4jP2SM6W9X
a3R2sEtpZFDjjX4u9JnFuJHSyo0NRNVireAAEwDxwR6s7r0+EIHJHjvzPgPY/VzOy8Ul3fZFSLcc
UdPF12KyjZvMAu4K616LxnzLSWJ4wJ8xvI4Vb42aQsXmjhAhEZlvto4HbnfCEViaMVnzUsOJXStr
RTM4DU8zvvWjDuxov67OcucN+nLi5O56njo6LrQ4VrJDWubZF64H6y4vhMARifrrJq1qdz9bdn8Y
mlk7y3isH9PVQWbvTvD6V9MJxJykDTa+Ub82LaG/U1DKm77dkabemMkUem3ZBBU75iOe7/WqHK1F
hJh9p0jT6ykiD15nthjPO0PC0ybca26wE3frB2Wp2h0yFmVPIsp6NFOd7LNKd44pg6gHQsbiy6R0
zblRkqniGaUsN/O02kLTdrMwR92m//jxvyPkJ5FeK5beAoUmjskhY6UTnln3p7xFUlifKsKMyiZ0
xriDbKD3yr2raIQAsY8piQeJGNFq6ud/TtT/rxOV2cRfHaj/3WesVX9rLrSXH/kJdFK9N6CSLAM1
FF3Hy6n5I4RC0yB+cuKp33cF6i8hFIYD1ZOfwte6bShsnffw84CF6MSgk9ko2nr0vn8rSRBBxuvz
Fc2BgUQB0QTvx3ytna86ZxjmwpZnLWvx/TJqkHjNmHtadqNeNa1waRvyzhnXaV/oVVmp70Yaew3V
WlsNj3pljpDjNwuAHpXsuhhKMoatu9Z9yPC9ggoMOAMwaAStnM2aBYOsqwBs3nLIFSmxYaAL0ytx
JHS8QoQLBnqqx/a6Lqm6QiEyenTPbeuzFefzifWnUI+kyi3XixnHj6ArWhQ69ntlaMReslNIAnX2
QnKd2nO++ewqVFOab1mF/pjadONBloKho3eRZNGyjvYiiahRAm1bgXDa5AHdr4UAdN7qbBjRWYnr
jPupj/R0U0Eg9Mtw2RFuQNDfLMo9nkmmn5bXEJFGSeVcPKxG0BxI2dl3igJY226XcU/ykJiYPSHU
TCuzOLSoz3b52lOnO9iGiR808xiWt4jFjW7F9TMGc3yddlqLPQOsMUyHgbVr0i46pMRkWXFUVfj2
rU68H3tzeYrXBisXKWLtfMRaMm8Z5xa/KPn0k/4eU1l3lpZW7oH695GpFSKyyRjTGJT3Zwlypw2Z
XMuICJG09TNYw0cb3/iTly/zGf2HN+wRsHfjLh16teRs18xQwUKg3nUM73SQdtXeGMuYDbU1I8XO
R8fPiIRU4JVWwvFZpvVNqE4mijtbVIeuidMQwtfk7nQpZSRHausq0QXID31U+aCTtrWCzdjxzYkz
9SODVKB4FnfjboNlRmptLh8rAlbIIOwraz81c/ug8Xy8KuyxfA8+xPYhgxPo1YJ/IK0pTdRQ752b
qlp61D88R3toCV1AYi1jQ4xnmojQsnS7RSQzIW+9dzNTqEOp7LHwErx7SpEwODwtq+LBLg1mkFY6
0dLmSnMc41w/jpXDuNJy4g/cDT0KRnyfn+DjaOBZh1EU+2TsdArfbDrKvnJ2eolGjRTBeHhwTfFZ
hUIQigVJeoxbu/K5A7Ijm3GjChaic70god46k3BinorUcp83SOweKokdU5CvmhbyREt8unyFKJW4
e7Qw6186lKOfyrGKw6lLlqcJ4ekhXgEtBoqieiwPFdLWRKsMN0sz15fOynNQqw1BoD6wDejqA0kA
Who3b21WHzz8vJpJYpa8GwGJsjMc4/K+MFs9gCDQ7sVYYVIlArB3YhMcI7MB8gi6KVjG2fB2TW2i
RnAtzMNXbevm4A3G9qav6N0HWy2/1lqxHOHXNsGcMkEVTEn9Oh4/53AdQmORMrDcDJxGiRKiMfWP
uMPeWWVvBXWRIOnyhO70bD7Q4SSl9Fsm3ZN9KwclJp/QLyxmvv13zcA/g7c/9BkWysq/eioGH0sW
sn2d/fZg/P5TPx+MPP00hPRYxjd7EGEx/+o0dPMNDz+VwRsYMCSctDQ/Ow16EI3QEEwu2739QsL+
+WDU31hIkRBXq98fm3+v8+A1fhGZWSqeGnop1ODMiSFEb1XArzNqUgibtpum+cIi1ouEhJ3EvZ9v
kE1HijvAu8spnwmvi1S1GMmxNMXbwhzIzBu8unv3y6f3f4ySX0Z8/1IOvbwbjA4oNx2AuxsE/Pd3
g0QRYEs6oULpau2SFOT1+pPT2CgpBTsYKj9zena4kTOocC6KnS7vecDF6+CYAQ1f/cUbR/WGvyOd
Qr0stbfs2l1tv9hW/BWelzbv/vodv4jwXr9jJqBYUnBNQPJ+1bjRGzExYLJ3MdBBJqENP+Gt2GKq
diN5maQyLrOWh3RQLss+VFr+UqjGvhL9ooW9aMYvhNsNWoA40gqHMWuYNFUpYl6nt4okwiaf3iKS
PlWDRygcQg7vaUi7q6KU1hwBArCvaXFEtf/r3+p3W8b2NeB7UdE6IDGAh/ZaeegsSiKVthwuDGS9
pyZBUoJKgABLv0WBcYuZ3ntoY618/9cv+2qTQGqdg50S6x6z4e0frwbADKgSk9K/vtTuql20Ip0u
Nf7bzI3Tp79+pVebmZdXIr2aoHR8PZ7jvrrOWp6qa8eD8eK2qvmxkw2BxrTgi+4zr4rUbirXwFAX
Frk5GJLqTxfN60k3vyVyF8B/+A9sTodXL+84RkYiDzjyLVbvI4E/1sei3N6DtVZDZPeUU4vKV7+X
ZfcScdw4X8fSG46S3Q77RoMxpIHwtQhgKVRvjb7V4US7y/K1VUQbqrSZDoPbxsT8biBW/JOE7H9/
Udh2ODZQRZIPjgPi99tUtSertqxYudamuPoIZ4moBfKmR5JB0afWyUnCZPmUuF57ntcuhQljzlmg
a8L5NsKUpptME6YJMCC+Zr3hfBG4wZ0/SMGxEr062pyNV7lxJDd5/OZp+v1d2j0pv306GtdUdG3s
EfVDItl+fnlGj1Cqg37u1DuBJHEC1ZaSY6vVFI4gUcrtUV+UXXXfllAdWNPK5J3Mq+ZIhTPCCOva
t+A9MCyh/QVysNUR2WhQU8T5UF/kVmh0W8mRwMxmF/tSiegirQ4WVds9+Ti3hGEyiC4np7vQ3z6O
L/WMvZU2WsacNERZtzJxlG5+xi/tPlPfmqd0K43WlypJqqlZBZxUGZnWWx0lt5JK24qrNZ8/4/MZ
HyZVofKSFdOQmPEKodi6/tilmiz2saNQr4Hdij8xmKKKy+pO+TBtpV3bDvoRQFp71Dqv/JIh1Oa+
38pBEJVUhpBqk1O/lYvEeLZ7FOreTSerGaJX3+20lwqzpBdMAsE2pQvEVoRWmAvDqfVuiGymQtUg
yB541OgyqLcS1gVr836u1PRKh8rwwHCVUtfLFZ2KqVo/unbTR4M6I+xBXZHslHlWP8JGlN+Gl/p5
faml65e6et5KbGMrtpeXurvfSnAg+9WhptT2vZcKndqcaj1/qdydWELIfqnnza20x3NJld9T7yfm
VvnLrQnIXvqB/KU3MF76hNlw5rNdrGsZ302ygxnB6Iblf/8ljVNdX58HqcxOReWLqqFoPutwpkbU
otM4Ta16GYuR5fbJY46yFx4stWPVZwj5c71sHlRHMY75YhhbSU5ePLADuKh8XcQDAVghiiUgJ0B2
kc3CipAiZNnxDVoE2yFUa3FkGsJB9EZUrggiEl/GxBBL9BqWsrOVNI9vBLeODXKAyG0uOKMYql1d
sm1B8MrDK45mJBGwvNGPWv4S04QEiOyJqU+9ScY7WTolrH2YdcWOQNlqDdzV4sSsiVmagioFJuOL
AdXA7cAKBT5LkrnfFEbkGYqoRh/3melO7sWiYo1PteGMYE+CGgjBuhwGWrM+jVo8BRUiNrF2ND7k
Ju6W0q6WgzoQThWgGCyRgpDNVO77rMuA49gmc662WtGnG3ZBg1JUqnJT5qqCdInlwrscwVR1NHpv
ROuTjvY96iXD2NHW6NpVKtMBQZ2T0v7uUb+19QMPY+OUJ2Tl4lHnHUTNiGotcrUZzAWkklZeV+7C
pa1wq/RhrEEO6dm7lmESGwzZEK/wdWYOuWh+vebG+hXrvke4OG+gosyv0u6oUfEfkswpbFRliHHC
rMnicCVOy8L/17febR7L3AwgruWrX2FpU67IljB3WhsnFm/Xc9pIw0LXHNMMrnJUeGZKS8CfY6UB
6Z/LJzE69E6Z8mJKV/BOL82i+BCUXP2CICdbM9KwTMV4BHOkTxe79RYgPl43XltTzSMpGZyCH/Aq
POC7GIZy/UxmX52eOtRK826Q1ppdaUARH81ctz5ac4zRyUU2Z+wAVThGBLaXWUI1wcIIS4gmQwAR
ApZF1j2XUlJZ5EkuHgbLlp/aPjUOwpFJHLkFwam442L+Hqts8nlX9wJUx9wa5t2AbPxRGxX+hCTz
2MWStjgEl+tVnh36WdflsXYQTd1kiuM9MZLeLs4874a9Uw7kJ8wL+sBA7bbhSCpr3ljDJk274gnm
PRmuytVdcUr2oat5M23v4MX6bd5PRXGvuyhMWFviTb0e53ErPtNlvrUANs1RIyteumnWlUQInTTN
vVo42y+/vXXJ+cT7aivtYlo1v8XUkQfvb+RDyK+F4NZpS8Ahd3XvcMv3E1VBwn/jTMWHld50WOI2
tkmbqnzdOL2n6wpx1+Bn6tTNuxmfvhGx2NS3Q4ObKeA34gCZPW2rk3FyPcUExJxckWUuej+r4LqA
i/dRYq4BhNWzKDXGWR2uEsrcnJlYXeQPLk+L/VCr2qXzku4Z9Lrdgd9LM/3UkLY2XcXEDIhw6XFo
UuAuxr7V+VgDJH0LG9rCup2nQUXAqS6ieCeZHQ2HKlaqb8vqbWcIBvQ0pA9wiXzHSTnsWrvy3ilq
XO0q2SZszk2OuaWX6X0GdPwKRVBuhZbe6wnHHhZUnxWc99TnikiiUq+5TVYgMN7RZOfffa04kBdk
wlxSkdxO7Ci3FD7RmeydiIeM7K4IpyKOCkTJKHjSGkKl9O7yD72Hr0MBT6kR9zX22hdyCkklrDTN
EcdMIt2M5kpL18CUiZ0cW74WEtkLz8aeIsR4PS9O+ZALIByuMxxwQQnrsEriL4JC1YZ134KRaa5r
ezbPyqiyYk+7uhJXCZAvUKjWUKWPVCLDF9Xb7F0cncMWhjVIxoRSuB1PgaV7KJNOy95rzWq4wl+p
wJa3SOAUj79sYJaXOkqRnJS4lZ8YCykiKB3krkcMO9odkdrxuu8nCOlsW7dpHwbz3LidWdRbl8pu
S2xjSFhtIFupOQcL1c0QIVzkW5NunRE3wxqYs2MY8PnNBnRNURLDwBqi4+ovzDlxwiVe1CEACGZ3
76S1aI85lBJAM33mPXGtV8Nt7TEN2U166+U7t0pt6c/Ts04wuqsBHRDOW0uvGVtKTNLmtRlvCOgu
xrXKw50rOsIPxbdJ48D4LjPGgsSZvk2NW31WS/sYz43H7zXPSnJd9Aqpn5iUOTOYC03jdVkSCOT3
EJR2Q+oWaYgZXT0uUAB78Ky2wxKH1fN3s/c/k5Q/TFLYkG7CsL/Y2JIwNn0ull9dDD9+6MckxdWI
jADoQnOKPmlbFfxYMLjeG8rJbY1LLNiGJ2e5+mOOYnhvtvoTFYKKCm8zaf9rwYAaCheD4VkMXl7C
sf+OeukVyhsVHIsFKBEWNrFtovJ6DoDxIgWTECcnocVjGsBLce6klqzs0GoKns7xTkL9xC5gPrad
aUo/b1zvXjRiPOAfEnuj07q9OmaguX75GP+PmQqG1N/7IN4aHwmbbs5mJHrqazjNPFgLewHXPjr0
Wc2N5xXqjbva7JJzJbaAhk7NA9oXxYwy4JljYni+0go8QUiC4i/E6Gh3A3bnro9gKVfOu5VR82VJ
OwlTgcXfM5ne6FgivATrbhW24oYlEGX1BjQhouwQfzmRwrKI1xCccD2moVZKUJthY6KneZsyiD4Q
7gVLJPCssrt346GEfAWOpILIUPPE6ictalDjRswdHtkep/0UeSAMb1fNnt56TVsiEO/QtLIhLgkJ
xdf0qVoq9d6MscT6AtNCzkKkURdQuNas7USsp+VpNJqSAFCxcNTlEw/kGtE/BbWk1Iif5jhRKC7X
/tQlubafJmP4zIqkv/Eqaw4Bm10RYXtqG3t4dGoo4lQKy94ZpvEqjlNxmhWEqhmxnCyAvdy+dKax
nOsk3SkZmhgf2G5zr5jes2rkSPCzoWnCtSjT99CeW8dXJ0teKxD07tap8ObAAXETyUzM58RZH4hM
K2/6Zcp8alEkKRB22RrAjDQ/9UOV+16bYpBBAriy+Vcz+151i/ZeZLURVLFb3VqE86bo6XutuMY3
MSBUS/rUnzUlu1nXLkJKpu/oO5DUqersb8iw42y31r4sq3rXOhC3A623p2AwVDtaa0c7zEbcRg78
Vp+k5S6a1bY5mutIOitQwjs+9e7KtYt+B1FFPSUadQiSQveEtKtMwrhWy/ftqA2PzRbV3UlsQkEx
Ke0DT6f1YpArfubBjMnYSe2dCc0hqjp++14XY1Augq0VxQGLkFSYu7VDzeS3zHE+Flz2uOL7mUAF
KM0rW+V71RHywlRDXFlymKLSzLy92aH/HxXU6eReG/xCo3Gfkii5m9RVJ803S7mkWWXQ+cDQwnfc
mTA8+UsCZS7Z1bveFFme1D7qCf7giljerzrByNewGMzQnef+YCJKlwEIP/uZTf9KspOTakdd2DmJ
9NJYUrzMxFTv2fCTl+VAjyRAtascTC9eV2I2MLwFuRMNiG/j53+05kF1fHTh4xEup4Y912osZE5q
eRTO2m91Spmek8Kur8A88OmZU0ypIlCVw5TYlYtuIdN3Y/MzGGYJh7+U/eMKb/fssXXg41s7MDdW
Hu9gFceB7pJj50PTQtuUoGcQe8FqqAz10ZN3Tq1m1t4pGvtYjP1bL5XrJ4fEXlT6g3kETtRAsifh
KWw1pblwEspn0sLc3m9dm1jVCjC6Rh5bX7D6kbVcfIJcnA917HhTaHU9CcWNprniAu2VwlsDuutX
2KWJoxPws85L45CZ7C1CHJuEtVw4cIiwy43d8sZqGrv3RZboN6As5J1NHc7qtU4Fkpd6KG/wd7V7
qQOTgCorGgXxutaKEPEeiEKOg6sq9UoQF3FJ9Yzw8z6bjLGJ5lI3ruNOdmcCgTCVOEan3mQQ+x4x
nChlqE1sctSG/25zjXpEdC/pSaxWf00McHqb6Xgn6QPqRxdvVJAsUxVWrSwijmcOX5ZRxec8YQzh
ZyYRBHhRe5tWeimV962RrDKYSWy711H7ZxH0TgywSdvb/c5UK+8r2PjutNC+PCduWgZi0cS9Noru
MDdtuCq2QqTQ1KQHMoypdUeEdFepJ8gElKJn8NKsuR9rdnqHVld/15BNdu8sVLqHoR+SW9M0W6pR
cpvhvTrp8KFBZlr5Jp44a99vUXkxyW8f085j52pps7geXZIz8L5IC0mq4RZIEUltuyFXWilY5Q28
XJmM4hvnu3dPprPcdY49fLCJ4CgDJJvrGTApbTr157Ev9DnqpNVFnA3zkSVF/F4UQuMfXHSc89zk
hJoV2/AUze60pgwG0KfU2F465wx5wkt8Z9HTDVqlEXJMXxwfxdhNVyMkkZev7aC46VWFWgmblMEv
KTQnYvn4OTdUylDXxPjRzcZTpo3tMUeMdAtYjVLVqD7rOLC4EK3CuJkV1vIxRz9jkXOyuPHneWiO
njNVvm0pM0l6lRK6KjHBbWvml4UAgr2JMIkfWGf9puZGN32ZufJiTboa6Pqkh1XKdHpCGetn2EA+
QN7q7nrdmK/wkZhlMLRp/Yy6W3wWRjlcFWCAwr5q5v1Wl3wqFSZQXKWWEZiLk3F05I5wI8YX6RlJ
Aa5oHqf9leHSOPpw7ByDnTQJ7hHe/8UMZdXj71+wKcL5JHbqyQb1Vked3RWfTMJqcC552zgzMUHN
hvmgLEwbWMeyOU0diVYP5Pge6xhJV5NQ++dsSIsnSji+rvSjYuaEWqtmcb/gaS9g6O7zvAJwaZjo
BgiXS43rIZM2pBEKr5u4qM0jJVbzYWnicTdOCt37qPJ9xWq+NNwsef3BsLqKvzMTX3RtW13ZMS2M
Q/Nx7XaDdh44zriLhmUllkHo7FxwvBDFyZ6XCwS410eWBs+DotkhXQvROpKchlPuxgqyaekq25h7
jtNgKmG1MwBiUCzh7V0YBC93JsiAh7kU+JlsuEc0SqWu7BDR3icek0aKIus6tRp0AQ232Dmj+7Xg
bg/DEICuwHpuVWYSeSV2eej/zmeZz90n16MZo+VSvJNjDnIrMGmCoypvoHhqyLD9Xvbr0SUJqPG9
ZrLPIynypg/vZdK3PPDNVZTn4twRlNn6knMkD/raJHWa8qR/B5R5Ue4YC1bmfuKhj+exWSVxKY4Z
R15T2ieR9zwJTFCi3aEgjmAOZ5aFMY9Wk/qrKQ33YZ6ZlOJMYuRm5ot95aIGmf3UM4CMN3aZX/fp
UsyEGjjVJa/d+anXve5eM6TzoYvdfN/YCWq9gvjSzyaJ0CcX4QJxsEM/s8dPKhW3rgZRz++cdNpn
VavdQqdPq5PbZt5NAn/8m1erZhaUaqIeWbyXKsp/oSC7nmw1nFEaG+OVzZansb8X2f+0dX9o67B+
0Gz9+66OBUTTf/zS/NrVff+Zn+vxTW1rQtbwWERpBub0/2nraNYQ4tpcgkA3PFzq7Hd+rsc11uO6
se2uWe38rhvbhLnEC7LQhsdFTpX3d9o68/WmDswjOc1oOl1ezgRG8vsOSa3SlmQbxq4cDZsKkW29
u0zvEVS9CBW/yxYLdGcp+ecDfi7rbDDYklFCNJzljL7VLGabnBiqu4VxXSusPlGDKiMDmRx0FSGa
w34q8nGO9wVpPVl2JmZJ4DCh8M+hYSG75LXeqpaQ3YoyakLWn56B01nLWnBqOwoWdoXREzkudXWC
6cLMrzDkFjNCdqdQn3W6mTFobKKtloe8Q0JjkHABBePOTecp9W6yDAvt6DFd8bFIKlg+pppjqJw4
bhaelyh1SSZoWBb8IythivFn+bphkwP0V7fNu6/D+B9PWZ9kr6QlP37yx83jONAbCD33oGFaYKA2
3N/PmYj+xmYSgIXzX3fIz5tHfQNucAO0wHsgGGjjI//Uljhv0EjaJK3DIWRuAg7iv/7zt5zx4dW/
/2oMtF8FhjEUAcQLSNJirc8GFnH773dPspiyrPMkPQ6VM101bo3vtdbb4Yr1hxmWJrWzX0yGdj9o
ir9UIJbUbM5CfCnyULBGyqM4nnCUjl7/gFOVLYRRek+ZO5b71FNwhZB60lw1CNgwAFVjgQM6tY4D
OHl6t3xreUi8ob2BFVxaKBjgngkPiIDVQqXiGXaqyZ7gsbokFMWVm7zVakb9vgBDxUYpf+9J+YQ2
L7YZBQ7L2xXvB/NeEERUMii9qUzvEtloJxILYDHN9SCjMSYSANd13N1bS5ed+RFEhz1t576lnc/i
Nic/es7loTe65nqVUK9m+uh32IXEFVXm8hj/P/bOY8luJMmiX4QxiIDa4uHp1Jq5gZFFJrSKgP76
OcjqGiOTHNK6170rQSYSKuDhfu+5zbwWWyq5MX06pwEJRmssSZWrrVk6KbacrNix/A1Ev41zeR8n
tr2jEmyQ2fO/Xb1lQ2ikj3WO/gRL13DpiZkQ7aLbaOTtAB+v0ViSdtjd503m3jAdtG4jBCE42x0p
jF0995wxwOwlpAPk08EexNZsBiNw5rYI+Z3z0FIdhoEakTvGADeIJuuZ8UhzMNLkwhWzuQfLex17
C1h9c9ZFEcI9MDfCHgWKv3gRF50mhyhQRD2gmly6ADz0wadX9ijUnKHYSxdjqw2EolBK0AliAmdz
P+z+YvHMQ5fpn1LGTWHPuWzzqHuKSEQ4+aN8nPNZkJWhV6+AD+eTkdBOKUntCe0cu6/R2SFGi/hO
Cda4cHDr4tLLyvaKiVbJpS5I1QmasnaoJ5Rzk1taFGqJO3yKZGTewpzPtkRyYMxbmm+dSV5lUK2p
JVGbxmuKgzrhUghk5lgbVB/TReHkUYDnGF1ipUW3htW9xKquIJu4+TFxZBSfxw7gwO0EI7r9LONY
vepj27+l2WDcOuSbnLO4te5zIurAXlb9Ba2B1tl0Q8klG5tSXrJBeEVy3F9pjaltzVH/Bvzp1R1H
AqZKDHfHIUOjWKSWfk22paHgJsyoKuOkf1i0HoHLEBVbp42KfgNeqi8PuujtbBc5bKHguY3jaxIv
4BYM+k3NVmmtIts8k0awcJe3fOKIdqvUgJCiXhPe9US/aFpU3ZvJmKPboTFvEOR+WhStLonelU7G
VrJpbQ4+Lnp/I9ykleg7eWL02HSe7ch7iKPmm272RF/TLmq2ktbywS6GwbtOUGZgNwM+ADLKPMSs
OXf8BIp2SyVXqk3pMvkjXYKqBLLkiGTa9LEazUvlqyXGXz/JeNPL5lOJ4Kq/k93s8isppsB9dDNg
HwxkmzeX82ANoRqciQ6Qv5+FlRzzfBnaW3MxvfLQRwYOO8xpGfsskBEIsRr2mxOUgktlW9HWteoE
OFRkbNumIxPeBdFlNI73DBYSAFa3nCtG/Ie4UwlffVqWkcMWAb4JTRZ9pv8oEJTEU5G/TLZFnnfW
jmcvdUEIdGXQRLPRM3cRYJllZt8mdZlvYadg6R/J3faAsqBkL9tTlls48lAb7AewjpvBKOPLcbBH
rgBQi4eWqNyj3XnyctI77WmMQ3S+517P47AE0lIEUPO87QQIa7d6cuaJ3uTkhCS/mEcyFZetzZ86
F7ZeXxrMdVN0sNqESxQPoB7aPcXZMXcGj5VKtreWLy26HV6ycRyQJQnYr3FDVsG8j7Sodjd+keef
lgwPqpjcETQMcEoWiNciRz+bDD0eJaCCckfsJGHey3BVLPH81ieMmpKB9L7Ejok3ctOm30+R+gvL
TRs6zMfzIHFoL9Wm3h+jcibIpo4k5Lb+lQ+Lsxuhix0qWoa8pVG9zsibcSQqBAThX2bF12aLXFxd
kOXs74bYuI9RAh6A4unnVHcbNlDsWgoXSF6y4MdpPD0w+MASYVHPGwLchgNZgvpRn12DCWOeHJ1R
kCCMtPPsdBhZ+GKTQt/o5kXvGv55qtx0O5nFHRlZMwTu2N2P4MI8NO7pW0+MBLIwqA0IAVh7R2Mo
QpgDLVJiowTQDM0j1CfrRhr1Rqsnk8wfXtHLpInTK1AeHoKmRttQNfrMT1PjBNmahmbfnqeybLf6
MqmvxPrQnKAVtc2KorlAHxFTh4rkKBefLWhXwluTX5kE99s+H7+UJZYh3ZiNbd/zuTFkcoQsFJM9
W6xZat4Vs5A75qYWvTsTr0U/2Ldsccud1NRVPGd3va602zHJbiau6ymabJO3sbiK3XLZTU7u82lM
wYUGzqCcnb0oSaCNH7NDHvpuI8U0P4p8xlvVc13v6AjHzmnJurm/nJUe11uTL6cMzHSyiNXQLfi4
gRjpWG0dBIY6WCOohvdlqvvay6jMiQxM10VEldoQlfQhr3AtTLlRFGLrdoYxHxo7vbdduZKKaeZZ
eBMKcTXkBi7y2jYg92TZCoYxZPltro3Jpo2/tNcmLcEkBF+xPFtNPz2XJHSd3C4zzn1bqX07awxS
iDidnI0x58NJR9TD0l+AqZqGpDswyMDqXrJirqlQn+fMI48NBM1pIBgXiITplnceE9xTqZfwbSx7
Cx1sxF/gxV8RA2h71Y32jSL0cYf7mQQi2QHDKRkgB0hOuEA5m/JdosfxE41/DBJZCSmjyeGCIPoQ
h1QuYsB6j0purHuDqZFj0RqoRWOdZdOXybZjUr1CVuYeRBBfLn1nK75tAfIYD4+IS6t+nW2cZkKc
YijPauiPejL35yLJtaPWtg6FHwI32nL4i64NGxvipu6WNsUKQUgek7JFhgm7+DDHzvtJ2VlihFOm
Z2xhZHuX+cymUXbNKQQ/396rFO+aBFd6WIxkGgLSLml1EtnnYoKUc/dMj9sPGSPjM8i80g4Kbv7L
YqVihx9wb3VR3wYpDh3mRcii+ftYBBSRN2h1tBFrearircXI6koAGo3XCqgtNiXjwaNIhf7MACgj
kJHM903c0/PcNbOoBh6XTseR2HUvLN7L1uIinWvf+MIYjJYlXtUy4I5GbVDk+jyhG8tJyej6bEYL
YpubrnOWZiOcpLymM41J1EEgu+3s5LKxx2bno/O7GHsXR0viNfOmsjz7VhWIVrbKroo9+Bm59blp
J69X7RAWaGC/TpGXvPrU3I/4yN1zJMihBbY4uBcKGoMTAnqJ/UtgV9bGnN0XUGLqeY4QvTixLTBw
L/HGnGz9KN+HGsjpnE/W+6hDeY08pJbLOkDc3mXxPhNB77Xp2tT4zHqaApTRjC3jdudleJ+q5O8T
Fq1dpy3d++BlHcHM6zCGYZm1RSBUBfXs5tt8Hdr4U8nUZRqG87KOdOZ1uKPWMQ+Ey4mGL6Ofeh0C
ze/zILOuUU29T4kao5Hbdh0d0R5Nia9inKQ5DJbMdcREks900axjJ3QMzX3zPotiPc/e6nVARYOp
eInfp1b2nPmnekbClq5DLRDg7Y7YifasryMvax1+jesYzFwHYhrau8CgVbad13GZXAdnKGj7DdML
pmn5Olgb1xFbVmgM29axW7MO4BAFWztNl9uOOLzrdB3T0RwdrjK6lGcWiSHkBeRlcQeTgoWVz8ol
8YBa22zzMnO2szBK3PzD3AZ1qXjXpcjOqCaiLRa3lgKqK/5KcsdeDi6xMNu07Z03lPbjV9z9iYcg
yZ8uB9OcrN0oRf23Dvq/XbM/dM3wbdDm+v+7ZuG34vP4WX77vmv299/5Z+Nv0zSDyqJjAwHr+I5t
/NfG37X/h409jJfVUPJ3Z+xf+360EOzH6aMRdo9VwVoxkP/s+z3IMPQQdIemAbRb3fp39v3EEn1Q
HKyJGczkIEN7SCygrP+4788zGHfG4reH2ZmTF3x9VRM6jYX/b1p4HCdXlt2uaeeboiZEc0OrG6Ii
YIwq0kG1MqiGIWgtxkuU8nQHVYU+EtHS+G3qHOYmK0APXWC+Do5uKmKdWB+LV6FJ0ErsUXZVjI1v
tvR4Kyc+CgEXMT1EMPbusw6A2TR1y1WR2RTmHgPeg4tWSqxhJvIE1jYH8QasTeN1CDo+LgFyD3me
iNgMnNIqAm2ysz22aHSLTOWao7swQiK4ubur/FiccLi/Zm6rvaRFCU8Mc3og2qlCzGzGiFpBHzae
aq4ptojJndTtwEfa1nJOMuJMjcS8Feac79BooOG1LY2yDvkImZZvjbRSGvJ+hzqTmARmhXgEzbZr
du3C0fFs3zrWpKM47S47ELZBbwKNM7yHaOgvjYhaKoFbTRPRuJiAevGR4ZNkenzO2NJckMd7Ibzm
hV04gbFGN53g4b0CTDw6LZ6UwrJuKRNeWxuWn1vX96SQL5/yAtxdA9I/JOqgZ68EpI/5wIZH8AFB
wDZykXbnkbP+CqSa2/xon+HZnmRJ/drKNW2HXbC+j5VfPNFzEE/oyGDcrSRHxufWDlkg6oOuQ3Go
l29qaW6wUi3kmWunjvywz7Uw5EODERX8OdrGjdUUaNPM5gZ3zCHyFmSOdtdez4TcvYjce3BUWu/r
SZK8iTqZ6MPc3S5Ijg5+63hbDK6PABK0NhDW+BgLtDyirJULck6Vt6Yf9X9pOqTnjdvq1m1nFtZV
maKmD5npTsAmk3bZFkl1b+Ey2loSj2Zo1tadKjp8f15UUZolCA3XDUxG2HqYkKxD3Te1/l62VpMf
48YwAL4xw8qQ2wSdNzj1lWlM/ZlIkq5nBdbsR/SQ6VmUjv4qOPFQzR3gPlohKcNUFIU7w0OaH1hE
np7Jbra7Y53pNsZgyuI3rbIXbe9hL4neZt8dLwtTQgqKCZCD6JciTgfgRq5qZty/L1//Xej/sNCT
1rNC3/7/lX7HeCT9+vn7hf5ff+cf0Zv+P/wIYFg4BImzfHcq/dPidenjms4a/rAK2ywXRdw/Sz3z
ER1/Pu0PHUc6Rpj/W+rxHNIqhu39Tus3YRD+O0v9Ov74zv0maCDbmJgMRi38IzOZHxf6Nb9n8Zq6
PzCiJuChyH1MAsJM/AvRWz7Vti2rC0I70yr0E2CO312rX0nbfjy6vRKDmRhxfdZoJvOjsK1t48VH
aNLtx94ctu5cOlsjNYuQCXd5+A8ORZuYzxAMNdgwP56otOjHGSQI7Fly0n1hsg2i49Rs6fK1/8FZ
cSn999458OUPTfPFmHL2C6LbF9OU7icEriF7hnzTTW5//P1ZfVAGvl9ASOC60JkWW2AYfjwrPJV9
XthcQD+lzTvMJtpzCsBpAC1G9PyGOCBtnSLlG2xy9R+EiTyD3z87/zo4DNP1KWZb9uE8uykhVb7p
ur1GnmZgZBPRn4ZoL35/ih+sahzFRplpMsYTDpkG7oejqNiz1NBG/V76AuS6eM9IsafWHbZZU2IQ
//3hPjgn3w+HW1cnmcPkMXlHXX+X2WC3g4kepOv3IEbJqc/lN9cy3zxiQFhby7MTMfT7/RF/voyo
BCDqMG1ByPpTrRUlcEk9q+73rPNYxBGyc7P8evv7o6yX6bsX/f28TCZCCKt0BpfWepm/Oy/kY+go
2rzfW+gloXFpF/Adr2eEsJtJZwf9+6P96ip+f7QPN80RetyShd7vvWE0CMSiGTrQlGhW5WQNeSKQ
ef7l94dc+VE/nSHT3pW/hKsRJcmPZzizC/LGkdfOSBxxLWpRPJGjS/1TL96hr2MKw/bOBVywaQuh
vjrklZ0a2zr0saz3Q+8PW3hrIzIMt/lrmsjfnh3hBya7y/tFzgSdJPHGyNvlDwvTR+HxemcsXbio
j9fYuZ+eOE/Fjll3vEbpCIYOTeCYu9DR7WGraRblIEKnTePVY2hx9bZmMYlXVB0TGCKvuYJ3YtGp
iGm6eADXfn9J7V88mmxRyMbkDbd/thFnPuMPFFAdnstka0bEvmJWnnCdOd0WfpR6nFIr2+ij4xch
YWfVaaoySXZYSYJVOVHWDaCeMJtnQTtXemDhekIrSpOVtN35HPemJK1g0Y4LgNuwhYocjq5N7Qgy
+anH8vTUDR6DPNxTNAs1d2dZ5sprkt4WjMapy9FJwlnuN11k+8FU2OdE5I9YD2DJipm8MMIdd5It
BTTm7rr23eXQougNZgFCeIqK6IImlv6syXbYZ1WuUdvNb/ls3XVeB8oPWdShc5Lump9c7X5/aX9+
QTzbpjDgrecbzF7/x4d1UjEN9nG96Yw9tJykIURhRyOdHvoFIS5jHOPffiU5os1ijTvcXdebH4/o
y2mgC5d3exlFR0OJLTiRv/xKXEgLdyC+l5ffn+HP6zbEHlYbxte+T+nzYQupYn8gHbPv9tlcEEE1
iPEYo5QlclPOf/jg/vyYMnhAG6/jFNZxB67//7u1Le7Z1IxY8fe+N9jnWmuNY00j7Q8X8JdHAa1G
mYJTjmv441FKZCRlN3IBNUfqjElcXzvgzvNufn/djJ/XMc7GY/dNtWgQ7vDhODlOP8NharBHjVWH
GD+znTOVkAkU0y3G2C4lBQ8+3OD4JL1njFT7WuTpn5Yli9P58YOxeiGQrkFvQp7wLqz57qK2LYDW
dHDVXkyFux1Rk++wMnY7MXapB9l8EUejmpgF6vW3oh7du7zLxj3N/uGyXBbrhGX2T3lp5i9/J8z1
NCUg1tofK45YkIIeJZbaV3FfHXVpb30dFwR67/YqUmDIErdvPhV4+TZFC7usb9J5Q6KLGfpeBYis
Kr4VaFqvcm8Kl2V87TEob9q0a+7nih5306X2gTCs8VTNxZWmd38qLn59AmSAWjROIYqsXaTvn9TI
kD6j7JGLmsx3sYSz2o8ifkxYxTZN62b0tA0dspvT8cWS5Qln6Gfmhg9KOv6xb6JoM8GCglhZ+7f1
4tbEQC7fFjhMJ8sD3o7hbiZgIdP4VnTFDmdt84dPgvFBT8XXisfiuzP48HQyb+MXrmf6M1oWnyLs
C6fOngjhWfUUqWSR7+nYZJl+tGq6CaoRfwp0sn75FICppkeFM8b9+Lp7M2sJln+1z7Skawhg8Owv
lFU3rlCInnz9a10M07NrGslfwCe6fog3WW3S47ASMhVitTN1VYfSwXs4YrqFt2v2DTGNur6nN5Sh
V4iNb3NlGCyV7r1LLICtZ3WIovkZTaI8wAbVLzQgVYelrj+TMXHvzBwoFu/wMF/Zf7jmP5duq6IH
fxQVAj6njxRyGn7opAnB2LdZ8VxFe3fIilBb9ITgeaj6v19+frFsO1Qk7DzBSFMrfthRqALLgWTR
2Tdx9eZD7uCrTctIYFT5w5HWn/RhgeFIK3dFCIcAsA81YhvFfeNGNk+SjB9ydLbPWbGsEraZ3YQ9
55h6dLxIp8gx/hST9ouvr4M8CmSOxYeJwvvH1xAUMJjbTEe4586fwIYwvmzvdBG9FW73hS2v84cP
1Hvt+dO52si5DJJi8XJ9eGv8QVNTmvLIsg2v7nqLumeOrHDGyLCxhuUbdtmHOi2mMJ4bihuBPmJQ
sQx1qpXf399fPkyIMvmyICXUP36W074b7GTg/R29ugv1xqW/iYickVgdb+wke/v94X7x0XQw/HOb
DfbeP+UvO36WrxxjbvIsSfdojGiz9F7yhz3iL6+vQSeDJ4nLK7wPFUCmsHIZolF79sgSBcWUhEOV
kUMWedpxVBZvJ/ZsIktbGoxRjLtkMAogCdp5WZw/rZE/b8o9x2BXyKYcyJP98X0d595eEpXzywxE
KABKwZ8qFzQpc8xs3tA2jSqrfbK6Xuq81//wWhm/eoOphrjY1O1o9z48a12MOc6qdLmfDZF8aVya
jsEo4+5agYMGM+LUDmnlCKrdQJvJigkGpy3sEDUrEzc4i0yzRm0eL4fEIinC7DqwrnZsq6+/fzJ+
8WuSTuM4rDGoC5mC/PgOgnIlIppg7L0zRYj9BH5uoZgVU8unf7gkvzgUjmjhkihIGw4o14+HSjND
NS0G9323ROUbPj73FgtRKUnO0f+D01rz5ZncrC21n1a1hnicrvFEu0eiIW/xrjqo8dzonMmV/P9/
jcabv1eP79WZv1jEOBJtEUpEED4fOxXAhOOs7jkSyjAseIxo7gE7mlu+bnBnplIERETPf1g+fnkp
2V8jS3UM3Cgf7loc6xUQHrvdwyYgRMmeAMpnpYk+0lR/OBQC8p+/EFQaOuJt5Nv4bT88yV4u6j5e
sNWCfNHbnTPPHTCpRIxLCHgBdZsjlRk61OTFprWGUduxc+yn7QK1orwtPZuXK8Vv5R8RfxZPCCBh
Fcgq9/oQd7yTBkjCk881yJ3LnGG7ImapIHlFVWggg4pTsjauA/gdYp89GrsR6NV8trXE36dIEZZt
LSS+szhPjAenNyGXFAIFzC4zysnZWpg4TQSPRlp+czKaJXHQsINJ8PNJKwplmsvkURW1MR8L4l7t
PQCQUmw1vTFO5YLlfa/6fFBXdkm4yaVAyxDdYkcpqh3/ro3QFaTKiZ8Sfl6FFfSJ+NJzK0xDCLfq
bNfbbXE/aAyATrLS6oMhie8O0MmaEh9g+lRCmRZ49WE4Hd14jAmP6us63815OsdbIO+VvMgGtpME
m/nNCJBTjX4eQkGYMf4OMGXOpYYZn75D2ZhhU9prcZXCb/3sgi5Adh5102YhplzeI7vRXPCgKptv
xsgd7qtUyG47a8gM7/Qa3S42pSHuSVJMpl3rTX6KUi6GWoTyflk2SmX+vlrNS9siWiOSdc1EGNbi
xHnMEpQbU1HW1kaJBIVr1jT2ofT6W/q8OwRLzXPUmMVLoXn6XVfBJ4hArR601epmtf51jxgYNcZu
IvjqDstiMIgEDAtclb0p8jHM/bzcxf1wsoZ5JMtKfc7QcgbYupCEZozVwap8FZY2bgfwEvwO0t07
atRRaqTOXvhLTRQYmPqM6eJZiWb64nbwEATaw6Byh89LS3LmYK0s0mkO7LR4Aje4dTSnvbH9Um4N
vUpRsY44gfXUOHtlkVwCRyr27BZSNMD4nBfL3tuacZum8N1gmUTHyBdIqbO8p6hg/lXwlQiVcpdb
IheObUdORrogY0yX/DqnuzSNQp7yaTLDRc/x/nYSP3USDRAE8/I8WknIuMu7iTxxB7Bk2hqjl+yW
RS6bmbFWGJloPxdK17soLppXEqOghicuIWxdS0613sk3R2urjdaBNvNoWO8ZQNpHWcB2cMmuOGJx
No8KZRzz3uHEwGyX2o2BdGh+KUGjvFRpdHBtcZ/28wt4mmo76j6Nuj56KR1tVX7npXccerfaDVoL
fsfWHnB0RCcVWWnorCJIPRMa96ElLiDzlxC/e3OXSm24aWPp3al+4rtoqYtujtygmCDqzFr1TbUj
ki2rSw8kyEKfKr3hTaiOZJB0XOhw5UPaIfPr67YCwhhQaUq4N0DIuwfiIohyN3l4nkuG9VPotuwj
+JiySGRxP35i9ptftSQA0x4hf83LjSOm8BkrWlczNl28M/+AT5UXYhvZpj2rC2/G2a4+zQkqqBbg
eyTGPFzAnX3SDGunZzEkKA12S7N3NbP+a3IhnR6svDD7sPSkOwRI2lzvQkOblQW560nSUefB1k60
Z3VFk7YFvSO5UkGXV4jE8X0+JHT1b8wiAwdbVnl6HDM0SDbMK9KLTW9H5CO2zamlGZekSv/i6BH1
JP3d1UquF+eGj+xfHVGyDqlaMVLl0U4t5vfKuRdDHr35NPf7DVUAHI/30MZl9qZH5kzlm8QQSyBw
qYxXIEQyZItGIgPeg09QkcYQCNC876hYHrxZZJ8GHGI8jAUEn85sT0vNfjqd8BmaAsETXbh1EK+S
hXl1z5OQgHx/SWCb/dU25J/kk9a+uK2ZHjKcNsXRAgu0SyGfPGOagczm1iMs/8guu7BHw1ggN9Pw
t+N4DGMHA15GwXUEBpSHLi1k8OvYHXY5+6byUDYIgHAnxsNTG40rfspmpB/48RrsVOuCMLmS0eCx
qZJifQa18RT7WXKPbwlPnit7AGpcTu0JaBGn6K50zXNsLvyqCIaf4OL342UcRTHu5ZYcN50kwZro
xAuRCH6qRYC2ACBwP3SmTdTK7LYnp0mSa/R2zSutO3NL48y+xrbXOtuqRra59FO+G+tJlHson/E1
OtLBJX0msa95iVpeKu4uTfj2lOOQuia9vvkih1jeikUaDyrlegNImPekgc97L+GianCfzxqP5m1j
y+aLve4wNxVauIEg7Cwloc1OD/ZU8mM14JSGFO2pMTL/YhlU86WbG/lCiLfJpN9t/yIhHk0H8c1c
VoA70SmmG4E6o1Nf/VHZ12JpSf4Yaj++nnBj4ZR0ICl/hd8l0CI05mghM7ZGI5ovSAgym3D0s3ij
4YxvmaMnsLy9vo8Isat146ExZpvQgDp6bJwkvnLsvn51YgInO4TLCbLBJTKCwaOItHuC6+LOw7kt
9SiMgaWdZcnJg1ufHj0tY12Mo/TwnpHZ6Fp83aNZWLB+2VTgFTqha2G1BQ7plb6FKz+HOZoTypiU
HX+AIDwviOOR/PNsaeo+QPFMEoRXoeabaVpj8FBfCVK2N1E0F0dDdutT3gMWZuZi2vdpmQxPou56
dzPW/JKIvvM7r5PNZwsd/r3mL20BGnRMrmenrKBtY457KdpluvEc1T/pzZTfpevtNmXkXdgkFN61
YuBAuTbviOmAyUORkVwLxVXzsmS+0WNtftOXOt1rE7QstDZedAfeSxxbPSFQ0Rr5ifWS31GyT4+Y
mdTXZQRjdlow1CVbgnvmN7ehzbeJerDOAf0W1G+Vo43VxtFqWG8iW0oN7qoT3YmELVfQIIucj+Uw
OAnnzpO0aK1k6XUETxprVnJd5FlNgo2x1De4jGnigg7hXuvKS4ajY+Fv2viqeyOciD3ToJfZpi3H
9k2rM+NJxOCHhlEZ30hghT3Jq9eS71MsON+zRm4cs5pzwkrt/hv4o4XgKphPB61puCwOX3K110eU
xgGyL+NhIfT7zu90VjPXGb5NjdfedhF28r41m6tumJtPE/7zW6Pz4muk8Om+84lpTJUHVlAlKz7J
4/2uQIY/tyh29FupeYo1vs5L+1hDiHujonYv2RNHu6aPJIuYY7r0TTurZyBsea+L8rqrqCTwZijQ
0Aun5Nbw2bywiOWEie3G6Y0jVLODtaoeZYPXZw3A6+Ka/6SapgmjobG+4Mi3dxiIl00j4M7hYkI+
NFjO3uB6BUw0RQhUgvcQgON8Z5RyuqEIGYOVI/8E7EVsCq2+x7x4OcBPZxapp+xlpAxH8JFXLf0f
vYfGkpWN5LC5c62P8NdgC7JukLJFbGeqXU5k9l5Xsx3dO5GJT39K+5hFF1G9UTFsbBHOHe20Ow3z
XIRkpw+XejxKaC5uRfhnNQeU+pSAPuM/WqiffVjgx9ytpru8HqyvAyTzNtUNljRIxIul2m3lGKR1
duI8TZl4pt7WQRZM9Rd/XOdMNfh5OsvHFmME07KEgnTI6vnZm8b4TidoZOdOzcGpizb0Rw0SV0pC
rjcun+n/lZ/yEnkV3xwukqmJmIWeHc7GnWeRkBqWq2Ou6VYwRBqY5FIQZgln7pwYfRNSoY43EDH0
vZVl6r5vNYelzo/vesVBejtyb3pwZAGN6Rm9ciQ+gxh0noBMFoc0dZ8QZJd72qUJdSClXFCuUqY6
HZPL1KNxUxvmkRAv40uiR+Nu8DR93xF9GXowNcJx4GWEYYCpKadVGM/YxykuxHMm7H1lT/WO14kF
uM7YncYOmqkVVPI25L35PDXCuPJLfw1EK8VDg7tuM1HD7qAQ2WdSRIonw3bdW1w9agdyYkKnS10Y
yE5CWJ6m5tvCqMncNHGXXrUZj0GKRS1F6lfhgmmaGdtAmanNhIYfKCZEzwUlW+86FPQizj6THUAI
7FgdurwtssAWGnK6bLpddBLdAWDueBV3gMpQ3TNjoyBz+6tS2NEjCDjKDDHscpZALG9el955ulxC
Mn68s5qR0kV6sk3sAquPJe1r/GB1vUlGH/cVkVbHea6HS8fW+OyUnpbzwjnVqYmnDPCllRBKnUEn
DaSs2JYWWsZrxAxtuPSjLnsh8d3Z2wYNeFpr+DBRO9PS6FNtuvEjq72YaWavkcADsWS9zHLMdal+
Z7toHDN3OkTopwdP5ZcYjeuzqlaygagLhqNjR6iz6vAoo1wnlu1gTJr/4jMzZZ/zWdYkj5WJvWxa
EhJWfnFCrPDQGS9AGeWxNt0vxuJ8i2TdvlKxFq+FArubKaU9ugX8Umvo420HSeN2dqhYihmIUYAU
DpIDRAZikfXpAAdySE+aVY8iHFxduQc3NxBsgjuor7UxXomcs1tf074hGNX0MiIx+qJgEaoNO3st
y6y6NVuvvHVS+shBio9znyVj97VQpv6lUlnytY10xPimxg9sUQGcbJnV9+RueuOLpOLhvqVscgDa
FXwlNMc6Fo3HF8Wfmk98LemdLYUBC5DcVOtYR6n5QH3MzjSHGHSKc6w4JVmPX1WvaCIo+DBvuVgt
pmrpolddZcYX7LF86WsBe1K1U/Rq5kRJbESUauTLLZH6qtkNviRzGXxEjrld3RftxMKgkmmsdy7I
lXon/JGOBn5yHo/E7Clw8PzV9wkIF0C5cR292obN3/GbqZD4QvzcDgW0Hyx4FgiYcFD8lhAVkUuF
FSotsCJkFxGOlopKndPFxmyp9Gowks1IvF28o3jlJy+aB1RTjLQfw0T4s7bX5rUEwDrLKbGZ8i+y
RBdV6MiSohX7LXdJW/jUbYqpj14HOSSoFvsUJC4Y1PLN7IGABH1rwVQfheW//n0x7YEYosBiPEkQ
sdJRprnGMtUB+4l6Dxcu3lgtFGeYWGtTAMpvdW+jH6v2RZrR7kFZkLLBzCdiTAC5+ddmu7LDOnux
z7Ps6nt7RFHBLWTeuhlXByjvsU0/RDZ6np0VKoZhj+XMTS79AcLNgB+NV8mEdX3paEbykM+Dua96
2LQEfLi3ueu35DRiInsAs6jmw0QbProWPSd9MAdS5mi1C37rtIq4eRjyKrAiY20XG+4J7y69/2QO
6ctwFQet488vlam+puxeMOeBMLmY1aC+pWCPi73fS3CovY92FEgpmVNQM3h/gpHbuRwq+n+nEb68
TnRhR0VnJ6LJjrojaaJIZiv4nNrUhtZB1oXB39X4fm3KXl/DZLweWZW5QMK/TgZLh9FPCVm4ldmR
hWUmj0ZGiA5UK/3ETFoexrInYj32JkJ68/RpWZLxcQTQ9fcY7L8a1D9pUP+XvTNpblu7tvBfeZU5
XDjoMciEPSmKkqjeE5Q6o28OeuDXv+/ITp7t+3Jv3XlGScVRR4LAPmuv9S06QNln/FsaXr20L//z
HVNwesk//vmP7UcJaAD1+Pv/uH//5z/E96/5Pw+qsvJTDKsboDh+wQzYXxz8YHy08fiorD/a+L88
qGi//4oX6F8wPFh4TbEo4Qgw/pblVDEbf978ceQh8MA305GQUa8dJTL/ZC3wjRJyWellO9MLn4c0
Ghdtw32IJeETHUm3da/tCqX7eLl4YqQRm86lrw5piLSvt2aqN/bmkE/7RilIBWSqva9UpXrSCb8p
pant/frbFOCCLJUOVSpFSlPaFCtl/ax96lVKuTIzdLXKi+NNoBXjugvdM+EF73qgvjX1qEcthhjq
W9+pI6OUhKcNYzUptQxRayn7/GpqKIYkzUlHHdJarTQ2uwnsVekOLmnAobszYh/6hlLlIqXPWQh1
g1LsmjZ8dKyc/hql5rlK12uVwpcorU9Xqp9wGsQWpQQyyq8tpMEOibBTWuGkVMMc+ZA8H3xEtG94
82iLsVIZU6U3mkp5rDLJiKDUyFrpkoNSKAcLlYQ4wHur1EtL6ZixUjQZal4MJkgl0x14UsDvjREq
E6WEzm0B0AhxdFAqaY5c2iKborJcBUpHpTJu3FUmmtzoluLsK721VcorvpxNDmGOPEJ+TnG9ENz1
CJEnbLRTDnbZZQ3HaFgbXs9dppDpU8eJ8YZFvbU3G60FklQwBlchZDNJkv8WPKZ9YaUTzzQtt2sC
2I7krlPFp7rMhqfA53aJUdV/GHMzJWxWdgg3JapXRM/ruhlSzjj4BW7cYeA+l5kMEpnR27vW9Kpn
N054QiVunz0UaWFf2BlKv25k4J6Lzye+yBDIQ72qj4hF3ooUluDF841OcN5EP2iMqiBAEgSkX0q9
ONAgwJQqvcIljQjunQBZSWeEjrJ3Qbuw2BiDm3x1DeaLFbTKYs3OKHj4BMh7ZpCvxzwub0VaipPp
jOWFpZ4AjLvJ16qiXXDhC5dHVpzOYpMn2rhuERqvJ7uPTx1Y62LRhWSVKWzk/YP/tYN6z3bdxv65
qqVHaYZuZg8TMtdr3bnmXgNWT+ixaXlV65L/D4y9a15AjTbCKaZLDIvCHVoRJr+Wb4lnYupWehFO
10bIpWmT9k93dtPzx8spnM5E6vgdVVb2jH+cCbO0nXRpwhFcV17GNySjEkm62OIC6HU+rcY2r54j
Pn/bGLiJskBy4g3GuHHgpLfZQyWK+ETckAciSB3wFGb1YY+cJ4OurK4+f7MEd6636TvBt88Mw70J
FUGOx5ztLM0g8m6sUUljWpt/gxMBPQQgw12TWAN0HYjBZDv5wz8Pquxw23uXYPU3KMN0Ztk9N5EV
Nt1prfsNdsHBSr5+XmnkkPhpM3a3biEmzivxOPjwefzyaqiosVkwnKFxIrA8MK4Zj0Oh9hhtbrk3
NZn3fZkG41kw063qmlOJEXautauAjmy6zioOWq48EUZAQDQjIPreulF8KnT4FpSaThcyEMYZbpp3
HqSWryOuyHQx+3bw1TfQyQY7j5CXgpFv1Hv8RHcC+Z+FkXZbzrgeZ+COtzLkNFaScll/vlv5kIOT
DSeo7E1Kw/ES+KC3LBNeucm17KOQjRUsHE/xzZyQb98NLLbdDM4j8LsEuh10CiS/pSHLeNkk86kp
olNPWKzTmrteMqv3dvm1AGIe5s609L1Lo+0414fXUa8TCmujXZ7U3+zBv/AhvC5aJuLCcM9QVjg9
RFtitA9h3YB2IxR/dBD4EY/ttco7G9VULj2jKM8tz7FuYShftYiFc2b6uW9EIk5UdBirVHgheIEK
Sp6L+zHOp1NMHd8wkswOyoNZuMG1aLXxSowGXOuSrPti8Jxo65RpsvB8cCoUHSGqsFfe9T15p9ZL
ZbTS4IwX4bgE4v4hi768kLSqXlAR3qwLIxd7bLZvtWh3hWff8JgEt9F3JnNpGDxrofHUaN4bkICc
uY9ChwzgC26YAiNwDkSCgzPHSKM2+mXlOOUtwFtrSZRufs97m3GN/ZvyHWyqdrwtkq46+G6KEADL
2LZn3uDYocRTdsEiAf9CpkPcQ+80Fgyt+3Sc8j3QeHM3cBNe6V5XwSKFfEKcmePoXG0oCHyWesfG
sCj1IxVI7qHmwmd7AZjN7oNnXeRyqUFg6cT0zZyqcxV77kdsoIEBgNe/uoh2K5Gmd4Rwk5dp0sw1
n3XY96YE5N8VLCAQuhVmy5KLfp65H5h9tguT2WR49XRrOaMu+cGtzJv3aGoDmvW86cQydSDEQWNr
uyxaA0BwMQMXhglYHEvhnOgZTW+4rCjicwJxbc6TtaYloaDEr9OSXVqk1YrWXLLdwqg+GttI13Nu
7Ke8TAH1Vy8dAceV9Bp/lYj+SQ9mgo4lT3ufswRG0O6NaMYzWLqtPsngfhAV3noTkoeNvkn3G5vl
2rLvA9zPS4ePISerInyifKIBi2iuWuwKx8HjQMyQ4L1brt2fXc5Y9ynJL2YIkqBsFJ3pMLTBgCJp
BB54hz65T1yy9lZj5R8NGb0P9LLsQL2guyjCJmA9qyFJONawAXZ7GMKcWoG51U9ukJQ3UKiwGUWS
ycpUzpCq9k5VXw1fC33Kvg6GME9OS1bEZsJa1FRRrmClYuDP2xj1OCpsuQzYt/kLZ0zCY8+qRBwa
IxBwAhugqwABu40XylznIxE+tM6oXTmiBl5hIpjyJpb6MqhDbd2nSXfEa2VxxRRQG0tpV5RUzfAY
7bErTyXQ/4PFnh82j62aRGTw4OPVPKMvxcl6biSN761faKc29Ow9k0K6FXop1/FIBwwBwtJaR/X4
rcgN4wpySns/1PGwo6dIPjpAXzH0T8WKYyFnW3doVppVxbQezPs0ZwpDRdYOeskNrBKG3JX41JYV
3AV2PVPA3kt4/FoZNggre3WbzFs0dTBcpY6mX9ZBUW8ys6y30sDe1QHOXjIzXI5s5TGwbkMj5Bzs
zc9JXUN0TYqeBfYga1KbqVjEUZNtcksnEl6n1nYu58sxjqZtzUprAVJHlWk0/fWcMuOlPYigEkTL
FS3T2a1MmoF9Zao9m61/gujafAyuKuV1pnbjV064AXdZwdeUIC3pqlnBh+Mjjqle7TBAmdvlVeFS
rF75gBMafbAfzGrcjsMYrhpzvp0c0z2NsSFINoJNwSG5dThiLjNRr8u+DD8kAG2z5ZHXyzJb93HS
wZEex0PciwZkTRPsBxkc41DC9bbtFZVqyR740ngRJLhXWW1oUSrWyLpnP+XuKi7cTnNilfOh+5LS
53xIwhvTSSSJza4ZQlZ6gwUJy9doZn8IQ6lz2vX1cEIoAPJFwSjz73y0GVUo2grz1F5PTdKvRq8C
0mx36ZhkC57bXbkCy4X7qQkBGxOnJ1RL3bIZlMaOp+EjZ+kbTff7TV74SvLphtuAFqy1mGYwKIld
Enm2rUuEhScJhGI9V8459kttmcwtwV62lquMptcr6Vb2azOClkmMYn4VjWgvh9zVNrHoP+oQGtNg
G8C++t5ckRG3DtbI6Yeje3ON0GMcEVzkOWRUWRsBkuukuV+JugULmXfJy9CGE9uQ2oLQFgSHXIud
RZhAo09lUywpqB3pcfAiHpUVbbB0gm91z7/ztRYwT2pdzCaDNrLAu2uQKLZkXp8ckS6z0nqLMqNB
k4/9wxTOTrFOhBr6QySUVx2x8B1mQnIchgK6GVyMnQlDcV8n/q1OqAbWJ7OMxq68TffzHNCSOwO1
OVps32+oopgfM4Axl02Uv3EAhRlbGrJDxGiVRlME5SouojeZ5zz1NZm/u9DpuWcFbUs3TdxvaqHX
z4wvztpg83Cm7G5eMgOdzTixr8xkDpuFIOd70C1frtwJvtXYFcOD0w3dhazM4jhnvUfgZGqzq7SQ
UMtnz4xeMYToMJ2SeNxQEcKjQPdrNk4cDaHRD5nvvXuhzo2jD21xZtfgPbZ4uZ9nMy9eZzD1EJYD
09K45buqwkcfirtCrfNttdgP1Iof0uRIFdG8j9X6v1JGgFJZAmJlDhDKJuB8OgbsIopZKiVDicxZ
cgmFDCU0D+AuKJTRANFOmQ7Ii396EJielSVh/G5QMJVZAZWo/xYpA4OrrAy1MjWMuBtSZXNolOEB
Vf2Y1qCNqxAzhJPr/XWoDBKmskpQUsV0q+wTtjJS1MpSkShzBb/YPQe/YOX6UbnREiwY2acb41PK
+K/q8xeqj0GfA7rJf1Z9Th+v9UuT/iL7/PiiH7KPb39B86TKm+48B5ez+n4/osdCt0CzuliJPCCs
PyePLZPkMa17nsN0oco4cPj9UIGIgPwGj/wzmKSBSvSL7MMOm+iRQL6FXeEor+6vsk9mdhoF81F/
NHNiv9HlnNaGapQ3LZlMxZF1qTVV+T7ug+gj6jRPKpLwcIej19kr3fw2y72A655f/7IWicMyunGO
YwLHH1i1hprfcCZh5q+1TTHH3ZPFVX+qPVcmq97wu43fevHJGD1zmdoYYhfcmYx1JaJmScGGyRyR
sz+HvrjRcaBcp6leXLfD0J39wuF5gS8ufajRow6KVAEJA4PKkw557KHTI83gnF/65yzy8nNttA+O
l857ID/j1hVueO1Iez7rIqvPY2gC5adR4mrGIbfWBrM9pBX3rXEw02XvwB5AJQZ0FLOMuuviZHxx
3VziQSqZkiwel9dSVs214zrRo8zTbmIiTaoVMzAV05Erbl1bRmd7dJJ1r6vHo6YX47EOB+MIO/s+
z+KWyjgSt/XC6k1AWWY1c3vq6HwS4ys2MMJFJkCfna718VHC8kAqqezma1zMQ7SgCEotvpL8xFOS
Now2mg91brGdiSYzXHE/dZeE6TxvkSBSKAJmstOy8ApHA4z6ZMSzFNEW15Dl2ulDORzHCCpiQZvh
KRK5AzYhH6ZbrGMdvhyks9ZJjSuvHpvdZMji0pX6cCToMe04/5oviWWWqFWivSUrkqFgp1rKUasi
v1dH4JyoHOgusZDqGylcjdKlrLihrsm8bSerfabDNPs2GY1+Z9CXTuXcWKjSE+1kwuojytQ+8VqB
YgIA4l+DbMqfzJqnDsFLLJecNtZDkc7bQbe1NYj/8V0OTXMFWL48JiPuR9/sGb8SLhw1o/j+m2km
HbphLcADazOcDJyLUbpm6RfdKARjijtAYowM2FznetlvPDxLHDetFxjn3kXRIY5YNHqfrJp2xq7Q
wWobM7GnJqQ/TGg+FWqanxyr2bJ2WVh5O52eh4+E9eG1XrH5jdNwvuJxXdFTSP3nm1eaXs4OphH+
Qg5OBu/dtbuLInZc7l9RdMClivaZBwnDWWY/YVHVH2l0GI8OJTTryGq6y5iphsVTJXtMCOH8LLMK
TVTLqvEC42d4hxfRvlLFE7WnzAa9W1zjN2vPBjzRdWqbLZpmP3OYFoIqFBxXHbaYdrQJvLVuumgQ
TDAZe5BM2GoHe8qC6j3opiZbAENjCg5GycwKrix/4DZSXU8sVncFw+C673J7DSdSv6SsoxhYbVcV
8I+Yx1g0ySsQ9eFVHVlYiKVjfs3iDFMpn+3xsaE3KlyMACJvHSclVwsdUlvPiYh2thPkh27uOXzk
mjsESyyHdr8pqkm/SgKCdEson2lOppPTjysKWeG8KAM2e1IG3Enial6B0HnPhK57i87Jx0tzdjlq
xakdp6tk6rWHsG8anzHLhteeaeG4MiHGlkv2z9LYjKOceVR71XhjwNl9RG9kIRtWINzkJnNKRJFL
JHxvjHnjVPbC2FCHGOaqnGNysNqOOoVutziiIYbdhy4swnNrRl2/g4LPp/0wV0ajzZzeknzkcNwb
6XBbJ2PovVlhGkQFIbuMs8F9TuhSumuvAn+z0bquTd4nt6pEuiUMUtff3e7/nQP+Yg4QPCp5BP/n
OWAHaSqOf1n+fP+SH1OAsK0vnqoOdFmUsu51eCz/awpw9C+YBCywAzybFVHq38sfw/hiKMc9Sxqi
BYDvmB1+jAHC++LrPpILpHNX8C9/q7/8t5JfVaTtfQ4ohkM0AzTHb8sgMr3ZnNihcdtgKuLsSYHy
tOgFS6rlnLFJriy8hVGc1W+Vi90zgjh4RmSYtoWlTdUyiz0aEJoRsyjFmsNKc8Sy9bUKEaGvnhtd
5/swluK+1/oyvk7qsaKPhY3/vowwOnaWoUYAhHVD08drzmrD6tO+SJ1Jelatnzs/5GEcCa37KGZt
rilPHCzqT+LoaqRyNUP2aIcXn8fEi2tGU4y2wsu2jMIe+btO63nDx0Ue7EmrXjsjSl5aPofXNP2J
FcaF6XmqaRPyqzB1Ecfn9qOvQ4GOmVn7EC7GTRg5uMC0OKahoTHu1fYnXf10vfw/QRLz18Hs8y1Q
ORzeVV0novZ7m3XO04IiscaBc0Dxom129royGG/ooRg15jNDtu4iNnL/unQr41gMBn9a5XilvYxT
HRU5Sqa1y+p8789dfzkHdnQySBa8C5ogHgtpN+doYkFhx0lyibBOns9Tij7SurcNo5oUbGOWV55X
37eZSQS3Go5kEow7IzK2MGDfE+nI1z//o/1f4zP80ZbuqgsY1oeuZuTfQkF0F3lhoNMTa5V58CzU
ux+WpXgShjVea65e77vErPe0mrUMZKhI3O/bedNwqrwcu1F/rVLqtqiLGcarEADTYShN+zaY+G+S
3P+HUZXiItSM4SrqHHE0Q0nJqBc8sJQxwLWwMkmLoYcBmem7uBgIhGm1tk2xzq2mknTErOdc02ar
9xf6bL4XTnccakPs2i6wd7QvKTcBEcJ4nNL1aA/Gmgd8hEHjOaOK8WBZ5fBGY5qJnG4ObxXntr07
ZfWubkVPzxbCVNV3mzYexjMfyvTk9gzQWUOOPDXfdUwFOBWD2qFPLeEoTt1AvoxRH7tVHOM+L/GS
bPW5Zl8Rs6VxC7xyY8G7tGiLOLnMI+U/8jLjcSKW9OHR54R3c2BcB2QFVQ4fi9gUUdPs8NPEF1nb
6pefLaxeIfpLG8WiZYzvaKqU0ZzsJmI2/nKmm+asxe141QBzPYKCYPk1e/NusNVnU0tnOk+G5pFK
O/nq4xE6WlbtL3U2Zqc/v3Z+u2fB2/FA60NmMoXp815+4vN+WmAbROyCsHc1Ssb0+QZrZrHVwMw/
TOPgrWq3g4rtq2unLuc3fPIkWNqGMZLYcvSeVOV4qhwjOMhWl4+utKpVFmX6VkJvGxmWViAc83v6
0Xy2A7VNFKMHqpbx3h9LwKQLvcVG3tjhuEalNs6jjk5IyQN/6tRp0yVpTviRAl9uTzZQ3VDLFK2+
asXabjVjHbNZ53uO/Xiq03K++bxsqwQjehw702UtbXEUFYCxMvP0J0/Lm0efAN1jQe3qiWUiHL0c
X38EDa2IXws93cqypnOio2wwIv3dkXqZZsBsqRd5V54uWZn9+cv/mVH9KU3Ly6/gPGSTHWiIOBLU
R/unl3+QomHQrPET1xU8wZZ04WKqpXabzD5/gaC7cOnIRrtLpphmJHus/OpyrIto3Hp6zOPF5DPI
ciiTwcFL++ol7R0SSz7SCKOeqINn1lf8MWr3u5dxp23+/h9gqccrhZM8l0kf/PoHFHPa1IJg6DkD
nL8eEzGeZBWGG+kE2M2agvtMIAfuF4bDLaaIOF9QDlK9wNi1L8TgBDira5Mb81S+mKMrjs6AgzEy
cPpuZOYFd5kr8RBF9FB5iz//3X+vhFAvvgUzmwOi4XKy/v13Z5OseMKDfS47G183J57gG1dz4O1q
ohEPgq7oy2RsxqvM7Ytti60Ri0NROHtKfvoDYa94ObCb3Gf2gFsQ0uJd6+S4QQcLEF4tu+Jq9pr4
iAw5Xg85hZCYQ4bmGwhAdit+bL02wQB9eJ498knKod6RgykIxbv1skqwgY9q8dli4n80iK9QB4aH
mJpiYx0Al9pQlhhuqiwanzm+05879AEaXFSrFsSCHmpQqR8CXmC9MHILvl9TGWI9m5VPkV76in95
R51VIRdmWlX7zGLzVbh81JkJxuvPj15Ar8V7HWhRT7k7/2PHHu0wj7VxRkZlZZ4nZr9kfRS961Uz
bxI9Cp658voPK8vVHUS9NIkbHECuzZeWrjxsVs6dr1JwhcnI0zu9MiiSsaQTP7l58maW+CtlGI37
dDCaZa0WhJqFXIxRsFnZLGZPsDx5lvz5hcCQ+JueQy7FYmYg2G1/joPq33/6GHKvzrsm7eUZdb51
lzQ24OT5vDdnNDhuJ8KVVHYppwJhiXDDKFa9OESgsINwT6Jgp9nDuXXhKCYZBmtWdeR99BgRBKdr
Ttyh2LS0jfNxFa7+Og16ds/tv301EP0/uti1tJXv2LlLGMgjZ1Awjl32RWuvc1efuA4oiCCqY2ZB
tslEgAXRpx9h56Ggrmh/cPdEXO7ZuwtSnqSJMo7S8ZZQhnbDRmQiYtTp3TuhHm6RaUFutMSkPYoZ
dgefWmi7sRo51fuKM7J9bHAZchDCXDEa8bz2zelRVMgEhArMBb9PlC9YPRRbGKNcrInRWEuH5qI3
Qvr5qgagfCix1e0o1aarnRWI3M6sj8pLYwwsDKFdGj3wHIgfGg2y+2KuBhNiZZwnjw1WA9wOqXTC
XcTcggZicjfAJ1pF75rvirPWD2rAwSR80D1QplqTO6uaBBv9K1HXrvFh5Dp/LhSiRVYqR20z1Pz3
oO2UKTEiabwkBmJR+DJTeRiGbbMPCD9Zi1kk5mtkBlBWQpg16YUG547xx59usGKXHJk5hr/mWcl9
tZU5iUDu7PpSK2CYhvaQHiYuBGwAA4YYzZoito6gU1QfNoiZCfj6DbHJAF8FutG5Zrbc0alIBWDT
zPM3pENvT9JCW2ddnjqUkAQiXOC+HtZW31PvQJcKbQUwPBaAN7kKY8mUuRjBKrSU/CFoV4G+wtad
fXPd4YyEnsVLm7E1wMLuFqwQOcYjvdHikrvDkocB24zGn+abzw/Sf0+2f3Gy5fiohvL/fLI9fQz/
s3vJqyaKf0Up//jKHwdclzokaEl0TX+nJf+Lo2x8sRXoyuNYaboKYvzvw62FMI73EI6NqwRy/MP/
Ptxa1C75Nv93CD3K6Pj3QMpK0f5pULEYTfhGQBg4Y3DO+B08YGnOGEoP7Bh2Mhr/ZgeeghM+/PSi
/D/HN3VA/sMPofQJcyZ/J+i7X2/DLdv+CuzfvOtSQ+LAa8i38jRcVqnV/sXkxaH/Dz8Khx0aIIcn
/Q9kCw5Ko0xCzsQjeyYsbXF6YRhmgK2tyoE5x+0uFxxixtm2qGya/oph+IeX0xMGBzXuWaCuTaSM
X/9SI5s9e3BYx0OIv+ND+ejFzV+chdW3+OXFVD/CVkXk7CgURePXH1HX2oQHWsidLYa70TYf6Bgo
l50hXKoU5cefv3PQK//44yzgp+xmIIXwMP3tEcqh0HJGn3OQNRCoJMdMrKj0tfyQ2siMWW/dW8Eg
6WcNOSxgKimTfCFxvdaLHNp+TY1EgMXdCJFvo8RL993g+vmSSiWfVHeW4YxCSSS2YkhBGosuXKqN
fGNvJLn5aihcV0/crbDUjFa3uvEwNX61hApCn22qUfsRcQpZmVFqrjoaDR6mRHWvOOACmD1d+Mjk
V/M7x87Cx5g8BnUTNUVUIYFSuy3Sswq2kKcnfAZbNjx1PT50hEgMKl4nSSHR+tV3M44LL7wExdVv
TPx2lpudy9h6c2bvpq3LHMOqlx8qffwawn3iRwDF12y+Z85JfJVWPClTaTM60hJjN8nwUUc4mtwk
uqomDgfs4eu1ZVA1wK7BOQF2TJc+mcGDEZoPriaCQxLhHZKNWy3ivv8wwTzdUQQWryaRJCcY6CED
Kv2snceCxO/DlVuCRaE6s9/NcRasE32MLgugT8QUkaBIaV/YIRUgax46Lc9FzHH+HjG1I9VewtWW
9LauiH2KJaXM7rHSYWVdFIBxOBGPde3cW4WrPUYc/a4KHEzpmv5p464UaX+BV7LbAR9hN4RXkGyI
tKOLIJf1ZUkV0NrAuwUWwucSyWVyLUtlNBgKsaZWwNj0caYTAU15CPdyJPEaG91zF+uSTYI+iSMN
o+FdHMHALuISZid5wFWk4hUKkuXvZ60Ojhw/65tqLupr8ozHwJ/MZzl77R2s4HQntUhcAgB3djl1
C8SRHPgLbTFui9x8BqRqU1fCrpwGcXPcWU3s3+hOmGw1E2/MHGrlNSiGldF002VI07FEE8v0DRVg
8rl0bDYosVOxtxrteAsJtruIAyy8wRw517HbbCDRYpsLcP1hiw2/JsxLe77scewVBDyQq7Eabqop
vecoq6TARNtaedFftA0LyDjCiEYsabjRgkFsDTPWd0KvMppbWmtvV428mErUxYUeYpGhAMqjyJeu
K29BIYZ+YwZyemk0jE0ZH5pjHybaRRs6xtYc/WjlZCwEVgmJlk0aMO1KXfLTwtQs+bxA+FyWjHib
oIomKue94NlLW1JjXuhviXUPFyOVNGB8uwEMhxZtWRIFfPZzrI4wVlGAOuY9O/UXppMNh5kTz3H0
TW8TJJigy7JM2IjBbia58mIG5qNP/Sox5VY/oxvphFLMry7vq+Zl4W1KHJ1Ji1fajGf47CUZ14A6
jhm/7CqgOB0fHEEgZ04utUZWNwmVY6tCzu9x6FFxFOkppH5kkX1AameNoHYzTihMY0mEUesoAQcj
sp1Tvm1IovW+FprLTNwM2goTZbnpYK2/ND0WxzKqnHUDCKQKzTvbpmOsEGld7MFlNHhIK/NFacn7
OB+w3QkqsmnZMdZRRMk32b1qPgVZCluJQvuJTiOPAufSnvdixJ/OZuq5LgeqbnxPw9EZlMusCmje
0Clb99DgeAAs8l7vW44fnKAzOr5PjbI29MY92S7CZnB0l6FXH6za04AIUi8XpJpHBj/9CEY/Wc6y
WbudYb10ulW9Jp3ZX1UsomkFpwprxS3BuYoJFx4RmLK9kxsYsz0WP+UwD09kPqnIjVUwTPdpXFlm
Dh+gBdmE5JvPAu5RDFK/w3tkUU+SOOQXfLEES5zQlWZncPmzqKUbietLjM74TvBdu0olzWYNFqC0
dpMHYvzFbvLjEmJODTlVWCNlYxZ3j8yT2babXeuY0VPAAbeae5ahnrYTTDZLKd03F0hbu+h93ncZ
2AllxZ57h/YuCHjG+bo2MP26/RTvjNQy1sLxo10XM9qXY4eo29r2lUN+jFNKGH71OKaByt9mnC9W
Dfn+e8Gda2Ug3LJTnrI7siFwp3RBglNrU+OW8+7aGfL8sZ1S6yuE6+jk1M782BTmqkzjIV6Qwq5P
najaDc0pXHmTm+ysFEElc7jIeHh+I6JnLKj1TjdOGDR7no8D7XoYTH05lq5z0Yp8Aj9uZE33fa74
75D/F0O+sCD+/DQV/SG8tC/e45fi5Zf91fev+THee9YXF3nhE1aHN1VB8n9M+J73BYsacFlmdTXf
G/wTa6E2+uc/LPHFtfGZEGvCcfIdCPdjfWXSuco/qC+j2kQR+f+Oq8Wy/jDCCZOSFBVngoLucd74
dWLsDI4vczRqKhrNplZm2YudIA+TxNWpJKfgjnrySTWVNx0n8WUaIuQ6qsmc4wCl5my90zVp0/7d
7USOKWQsvvq6KkIP/ZQQM1+V0zROU3pezMXX3EbJ53BjXOFmhVCe9LWJwQE/6RJPBgY6ujgcEhTe
rUvM71yPXX+l9y+56mqPVGt7ixn6mQ8MVe5zT0fZNtWr8YWSC8reyQsinGimKoEfPwvhzc9y+Er1
xEcam/CFWeeETSc4EFj1phjruGqcDzK/u1QhJ3PD+DxbK7s2PBDDpUePJEulBC6Tl5hb6StuBuD4
6GgStPHWsNgos9eKjMJNrBvlm0ILPFMHP5+6ZtKXnZk1F9TBDG/gaIpnNELSkr0HPToeUnkzVUn4
wpbIgEJmlNDrOibKvFqC49JxwXnDaSZ6fm2bU0l4yaMFBolpcLfZGKcnz8zHG1DQM/Ve7Wpqyj06
AOAAKOnLvuhYgFjTdjBi95rIg28sEjN/G5tMUM6Re9e0XlfU2CftrTmhs8VN06wR+M1dMFciA4eR
Fge7DV1W+nN34Y0DNTMzLO9DP+P5UKMEQkZsS/fo6ZTrLTl5ZA9mXnW3UMApweoEaB0IYOIpBv/5
1GrVuK8GG/ZA4WvHYcaRxK7FgQFKXeowBvNxDkX3mKUTs5NCRx2HoJYXkQe1yK/9GVDZ1Grpqsms
6Kq3imxdSb9IVsXgywLvhdtfZtpILahPevhFflo8Sdrb2zDOGa04LTRfE7SnTEVlcTVQPRdS3uMX
YscBKz5HVWo+GmEe3/izzU9j91bfCoy2G2rbrQthUCtHTKqMdprZ4suc8D4bbS93wyT6cxjl4Nwg
BDxrRVgfTD33P4Z6cOuNo+chc4k5ePGaDJ5/xjpF5RDxuVJ74jDqXEdWXKQLSOFasaAlNH2zqtL0
F12EmT/U53zls3JcSh7ld7yPKS59mnndMWkuGzFFBxfB1F+LcpDHKCgsNshTmK+4XKHrmlJXbJwS
e7jk30UZWpeyt7pyTWlndUoYdGMY5Dmf8qexEIlFTD/0KWlbpCPKBBmMPtb5j7IQTF2L0e+nxDk3
pT/q2bHQ9bFg0UXQbcZnDMg46AEvnKehN6dDBIxzhyfnWnhJuqosd16aJhgHQvb+7YhE3DMjddlz
wBhONUFAmaTbWX6zTCujXFKfat8ChsBLO8WiXbbU7WDej/WTRXXysbXJsmC7sxdN2ZBCoSto7Qc9
hw0T4kr9v+ydyZLcRpZFf6ghw+xAL2OeMjIicmLmBpZkkpgco2P++j7IkropVnepta+FymRWImMG
nr9777n8Xm6BGghhcSSST0PQW9nJbRs9uYiYGIq/Ysxq9Qd7UugB1Ha6uUPRTaXt+rZ+tikiu+J/
mXFxtdXvrbo7dGHu3hVlWW9pecYOPchpS/XgeK0Kz0RpldWi8Jxw741KXvvaqm+yT4alnSZkMy2f
Gk+MAStqURbgIOIFBqpzlvD7yJpZEItPXXJgDcvfZGkVVNegWvux+eqCrF84iXZIEiZ2kD4L9khU
LEKRWQ7EmJ4julGAA9bF0uBt2cAzV/exbr/6bRmuiGlSXdh32l0yGcEunK/WbAdechxeeKaw0qfj
R604REy8h0GjH5PY5MhnYI3a6Cp6GmbgMEnrZ0+MYp955TeSDWBHY/Omo9fhqaaiwKrv3T5JLk2V
f8EWPyzM8ShI5W0wgD10Mc3J2SCaZa+PtAv2abcyc9kRQx9wd2FrSpejy4DXdqqCSRC5d1VsqENt
qWOTBOFmBInOgaazV4YaU5qRTKHj2E2jQx0KO+blldNrNCh15w897Yk93gO+RkeXT/ukh7UJa6/N
bzqMry3nGE5NeBSWzVhM57EOEvqfC/Rkeu/LazWO/s2aKD1csQmS11Qb+nvXrz9EEemHNA6N45T5
NOmp3ssASg3gkruc1Br0szF8FBiZV/hXKAIAorieYK5B1wrHMzw2wIWdUT9Nadhir7IVKZP46tRa
xU8ijZasz9U5q9NsWWcye+hkEFwd+GgLG+4FjjJ9XNEhcvQDHZ4f9R7vcgjeI6VXV7MU/cUc/OEY
18q6ubDFHkjkZ8vGcg9KZDl+cb46wK1fHBWxs9D4nygZ5nZxnqmZim/90Kmbx6IdsO0wbvBw+IT6
hfzhYsw6s4xW7YR039iIEXWr7DPXGO2UNLHAMhpl1Y2YKfM0nIKjJaAYOoFZ0o2oom+2lPy2/EKp
pUjbG19CefYLXV6w7jkLN3fFOnYntTIMfWZf26vGTBCdJ8u6SPjpK60dy3unN96crnbXlaGlD5lP
ysFpBFyTwq42qjdTg29GBCSDuYD+UhuI3hibnIKcmeFT1vFR61z/4Kh+JLUWD3u34RY5pJO71ySM
0H/Pyf9I5f/lnMzh6V/OyR/vUfHnKfnzT/zh8jJojOJiRZUTrYIunq7/HpO5dePlYl1K+wsun5+G
ZB+r9+z5YW6Fw4Tc9D9rcOM334fuisdrFvewhv2dIZk+vj/vOWeruYXZnNYqFu6G5f2yVk2NoGod
EbhnMBTaPgzyoTrmII2A5Xkw1mazJcqmRbZY9135MMWl43/Fovw9AnH+YIvUcpZGYT262KNfUqHF
R8cSAzgK04OPU+YuLlZ/Un6x0oj4NTdoQCE/1LDvqyc9rwJtkbP/srJj6scKD6pktSdouSIhi16+
gTiW77NgRAlM2mqZjUa4yjPJRRPxcwOYFZNY4rfXlK46RjO9Dzgkl+VJtWazHd2uOph+3X/wA32z
s4Ygn6/0V9kXYquXcflWZ6m+JMrm7l1LvVt1gk4F2ZFMqTDr6DiN0bDTS/pN+aC0c44XC2qZ6Kj0
9TAjLGuqB7t6KUrOBx3NvJJUhxn3yb0WReZLNw5zV1e5ojykXKo40m8jTRG3hnLiFQDqF+nE/tPg
DCN+Nbr7StN/GQbPxRw+LgOry66Yv6odl0rzXGcZtiey50s9ieNT1nE+ZlKI73xNvvtNRaIWwPHa
oaz8iPXc38pC676qVAT7MXCsTZob8jsGc9T0xDO+zy6OCh2uLna+GX9vW5MC2z4evjiGRxVsGFO9
W5VeyGwmvTfTpOnWYXHLe1O8ZHH2wkYxvsNBC8446jtA7ZqzxnVSrKm7EEun5Pq8EP287pBEYJnL
Yz97ENMAPx7sUrmfv5FPbNvcDfgq4DsAB9KdMFuqziMh6OcqOrGi5Ltjj4TvaoQKPPRYiVMjvNmp
kV7GUU33QR/py2iyGQ8tU2P3qg8Oj2IVEBGEvbUTiXck06z4oXeVPDmwc0/R6Fp3dLBQ3REF/aWv
q3qTKzV8azxbMm3rVrNsU638we4/aRFAbWObiaQ/kciLd4OTq1ND/yFqpduHHxG0OPZUYMRopsoZ
AdtSHA3sXsUiboR+hutAxTYzPneY3NTzZeV2/oKtXPtMjyBzJWAdEyBlWhEN0kW8MsOo27A0A2Kp
Zezoi8z0j12Wkd5uMMwTF8PTQyHxcIornpSo3PKgplE9hcSgskWXmtGPAlTD2vOkvxPwI061o324
k0P/QxQlVL8HIeyxWutNGkPxjlmgKHH/6/4L/AGG9VocywDGReZBWZJY7b+SfJAbas3db2kVTDgm
so5lYxe527k2cUFquv/iF7Z10dJAAMb3ArbLYB6XedqPx6LX7GbpsdA7eNRvl7SXa9Gavfd0Qcwq
1hNnHZrrKapoBgvYLLSlGztzZ+vJvp23YgX43BxcdsI2j0x0yH2vtADyZj7DiufzktwCmQ/TECM2
ejAMyrob18bUJaTpgnEd99701HEaXnQYlOiz11nz+yMfSWMHd5HH0tyl094IvPoRW6R78612V+fW
dN8TEFsWgzg4LT9rQCLmsI+DjCxn7xYX6Nra2uDMgje/9MaHVMnyLlMd7kizSt5inf46zSWr3XJe
Yn6Oo2Cfo7w+DElFXScJUWvAAU/MkMR00V9Du6pPY1ImSy6e+lm1fNxQHSKODLHFRaHyV6HV6/up
Mj6M3nHPpV3le2jf5j5TrbtgvMyWgNVMbLRBuK2phVoFcfmoiXJkTjOt5oFM7fg90zHbT5oYd2NC
flKMVYbIZAANwF4RLY3YSbeCKXZF1zdEZ3NqjnHUDk+51G1Wv3mIP6Jz7zgiaXA8uBD5FLOwa/W9
V6vQo90IlHqpDZIGGrsZNeLxjvvKTXDa2b6vfTeSSkOliSzmY7v9QRalONtOXNxUhUO4pJUEwV9/
D6csZDSSLP2KrqOuTGnYiHCuvOKxaU7Mk5zWivYQ+W6+tOq6PMIsbC5TTuizH7zpohuxf6+imtka
Z+a0tkOXM45NcJhAordSqUfDs4js7+Ec5O/F8K2d23JTrplyEaQ90ysy2SnSiL0XpdO/lNCvl7ZR
TjfqzHxoFIX7SmMCvw3LLWEbe1A343S4y4lIccEKQRY6sf2Wyg46HeGGsxHk+XbSC+O95+QMVmN6
Ii0aLM1+NHdO5yLV6lrgPMSxMaxK6h/3uKxuk27smR4wydSW4a5TfeQDzk3HX4m4u/ZlGr7QnEtx
QptxdiewckmkGvOFVoX9sx661cG3KnEIvaj0uIIG/o7rJkTARj8poVm3aWovLecC5EvAwOBb06XD
dw+LnpnNBOIFPwk8PL4BG3QKoz37+VsKLIRYVF14hOqpHocJ7u3iwW03odfItbLabKl7wQmKV7ot
XNViS0k8CAAwJPsSniU/qGjTZpiDQmrYF+YgoVt7QYb5pOby3Qf9exTr5VZj9j1OnRLfDCHl11qV
2tlR9VVZmfMAw/xJHzl0pH5QkXO1xL5utGnrtaJdV47onlQWtQfHzd6TKWn2UULhA43zc6kcSJR2
kjCRBy1Uh5jYLhyf0L6pMC8uE+aiFWstp6Mv5wov03yFbtqfoPfhWoTk0b0Ycazt5NQ5p6yMk4MZ
O5vCSirMKMAfXft50Hp7oXuZXMc5OrwIO/noe2G5bUHR3sMjNJaDKqFDV8F3DybMEmBHtAVnQMSW
oPlO0dp2imy7J6qThl86n7O1UF2xKifglDa14j/gyD9GWZ4vzTQRD2nAU2iMtFny/KADJtZdx1V1
XUbGW6BIiWYF6yU8rifZY0ZFhTiNgWE/yYp1WAWEd03ApttSI+dv4iEN3up2HLb2ENdvhFJJLPst
Z25WpnvRs8OXrnrrDa4rvp4Zm5BkcjqHhGUbvWutA6SGluiF8JLp4LMFEWkoj0NzFAV9ZLQfZN3Z
ltSaRJ4OdFEX8inR3PyBoSo95pXHrd4xcAexSfSS+6JojC2db+UZKOkmc61y6+GtvQMYTNhrcLRt
lNjZRo/M8CSwJSF3JC1LgSQGzAAX+wK/YNhHtoSy4bX1akwSB+26f1MG11pQzk65Jc093ZdAf5YE
EI1DMdX5xvH64b31Ag+VpmI5GqTKdRappHp64YK7WTnFNHzL06h8cylU0hlz37MQEZ0n8iNrs2qD
tugXyzHX6v2odG+ZJam2wx+buktRIYUsDDvN78rBBL+T2u667zKceaBFPwCtmgABp55bmgsLzvF1
aD1pcs/cu2xiXW560502elByB+0D4zBxHQBrwbTJXlHfBZam//BIkS5QbLpF20CxKdwmXFN6UC8Y
Peo1hUJXBxS5tVA4CI5BoGbSkwmKjo/6jaKhcIf+GaxF3pbIoqPCrKxatQRRo1ZVL0GOVCIQX6pI
r/2N0YoZW69fRckNaYG2nkAib4xvQykkpdwDF4TOlMB+UnMT5BPNCg/eELQJKl3nRcW3uM06YFdZ
LjEuiCFKU/sQOAhwx2bw/OKxHzveNciNg6ZhN82ZlBdJDZCd1bdkR7rM4eutIKCnYjVGYY6gFyRo
Yuy+v5eQtT96n2fIjOB84c8Ubxqg781odqyKx2Cgn7mjekxXXnxoO6+6q0r+60K5xavFL89Kx5p8
l0cdhU9evYUIsI2FUyIFlEOOqVQ37op48PYu2FV+wSgeZ9G6jxMM7kUF5OjDlqUKFpOYyiOViP0a
8Et9qzPKxBOXenQtK7Or3tP3Dex4hLkR9e3Olo03Xw3GFVOfuWIvwA6qV7MBM053bi3tNeBO86jn
CnSoTiwkdnR6/PDQrhx3zLA3ajyenpbF0xB39ouCEYkRNC7hkShjTsbqEu8E79wN1yKZEdmMr70T
3IcJnZULXfrDA8ykcNUlYRwsm3bS78YyNJdJo9SqtuQAWsvx3JalW4mlnLswthJQNlBFcZIuVJln
hyFLksfQk81rw+jJmUl15zGfwofMmdTGm99sCtqxG/gNpy/HzKhdDLq+hpg54NRtS31PprB6CIJM
b1ZxwX/awlHap6rOb03o0zJQGdVzHdVERMA1f8mL8DnAaXqyTTaPEHt0bWeZc4Qp9wEAtJ1+xItT
PiBtqnwVBGUu7iB12tc8qt7FVCN0l9MQEgSN9GnpUWkQL+MpxOKiA8y8T+UoXxIdapGX9MGWQAI+
jbE1zC1HoeaJvH7/0QH+X5YgbGFVhuWKZ5RvkhpWAHvXfFrUboPngqMHs06FAXrFNrT/OjH1MfFr
uEjqYhgvlfDY2OW+jG916DOJ0UYPgSdpzTXir7E2Bf0pfWrH+2iakhPlUfE+I+N9BubKAXZw+TLp
2lfpFdNTROk6mynD5cXBACrWupOOL2SB4QwZXa8TYRTTvcb2cCVps9s2Zidv+TwnsTd0F/jKG1a7
Or1yZgp5hcmXUIJf7PIkMGAfU/LE+XMeZA2nPrGkBu2a6858BWN9PVa9ALAaJ1n1pWjYMd4baaIs
mgdcDmOVwV0ALjxeYZw6LnQTvALu9KGB5ukvhg8MyGWnz1/YaeMLqns5PE69BucL+ZkDb3NpdYWX
f922wsQr5JP37Y+8JbVHD0JY0QxvKaMAy/Mfmd2pyIYedZ7CYRtoonqUMhv+wvZnzMLiT1Y13dMJ
ojiUbDKVsd351Q1XVkOfSMvozxT5OivNN6OFgdQItGyveZDTwjczs7ZdYh6s1Nlodr1xImPtieCu
bAmQFM2al7pFGILCH29/2k1d/vEsfu4mYqn0z8+NcAPaqyDIbc5Ovp+s4ZnRVbkemP2Zjf9ZlMyK
wS7u/iqG8788yMw3ENCfAML9+gY4STNw6O36c2xSk8s/riY3KDKbz9fyb+n+L1eSWGd/+tj/WbqX
Ms7Rt/68lfz8Q39o9+I3KGYmHeoOMEK2j/x9v4v3vvEbBj/wE3R5fqrwLCz/EO9x7uog/jwKDwVn
6nmb+Id47/7mA6agw8ufM6lo/n9nL4lD+M9fIRq3TQEomC0obC0L4MWfv6exG7O+Yf99GCpgisCw
ilkvAl1eVoJVzzgY9spuE/+hTCtSU3M3GbuxznNAaCkOkLvayCjl9ArpHia8M8FadsXULxqkvSuA
tszeGokYtWvqJ/VLBb/aWULND5PlGEj6jTpTdUzKmVctZMBpBUFLn2BxFq17QufERocVf9oTmGjs
RZ4U/prThFWvO3pZMBT3BSU3KigB9ngaobdkFN8+uXyN50NGn3QrX0SlbNRy9BzTWRksmsyTbzbR
SvmZe9dj88Xu1N4UjSYbofD3LBjkdIsbuxE/lEkyXodIb851aGa3GTKZr8VQaIDovSF0Frmjh5z2
kvImnRIkY9hXbESKcRdSCX0wZ/WAy+4WwQtBISriYuPkoBixTMyCw6f4MDiw1e1ZkSB9j4xv1fLB
MOnP8iMbx+esYBSjv4JuY13aWd/oihFjomFeoln7oDtGrLURHXwoNXmxhCbPVt7fHJ2Z1vkUUMpB
RN/oBSi39qyvsMFKj0aWUQTgDtUN+wRCTBvF4R1jp33uozk1wgzSnvR+XZlFcQ7KOvuRoIJsOmql
N8ohnMAiTN1M1//mBECKMG8GpIzRhtxZJQKO/uIDel3Us4JUSufQzZqSmNWlZNaZMAYOR2vWnuJZ
hSrT6Gsy61JO4fYrbhpHVlPjypnVK6JVkBPcUrt2xZA9yFnlylOJBDYrX7Piswz89FrLpDlrA86F
mF/sE3CfYGErcziPs45Wzoqa4fBM0eTCld4F4ePkCaQ3XF9QzJO84KSdJwmYvLI0jlZU6QfyFx84
Avr7sLXllTAXqHEcHv5NzGqfB+CZFdgsAQIInM42qv4yKbmjpBQhbKdP1dDkGy1mJRFDmH0cyXKV
tWVvGN3VXTFY0yt7QNr+SI1EBzuJDGTuFCXYmvXKKk0hNswapla1R8w86qAjbyL1zULnrHkiHSdL
LxmYuz4lUcV3kLopdNI2gB1LtO5Z444Alu5G16C+CcTR7kCOQ44DftcmlwjtVUODNWYx1pf2jdlD
rnN0WlUKBFuU2/FTwjXVWyZquQGzjb6bxebRsdk+QXo8yvFDm6XgYhaF0cRf7NaH/zj6wa6cpeMe
79A6mOXkBF2Zi6G6N2epWZtFZ5mGzn6chWj7U5JOhGJxSc5Ls0x+VtpBzAI2dPlXyjGqdSuyeku0
z2TwPUyo3s0sf1cNPGDQqPksjNso5DDAshW73Gzd92W8SX8X0lEpA0tey1lmp0GWCilOZXucTcM1
m+X4fBbm6fWoMWkO7p2Naj/O8n092kG6YgHZX8noPcN31HZaNTpnltZRjkJZKLvXQU4SOvNXlcG5
+DJ+Ogb6wkGW9b6SnHLWrjv5jwlT4cY2sWtEXhxcRqyP9+DN3nO7ZFuDbXkxxca7W3ZOs4hqvXlT
uNy3lCGVq7qU5jGUOUdw0+ErrYcYgTJbMt9F8jJy2V1EA9c7WdRULIh8fJtan3LLgOsziLfmFI/D
+OaPAx6KDNvzQ1XDydSJLGP8zO4LeLCUv/nMpZfQCUB1lpyJUEtshj3p4F1RU1Lsy7SjjCbOGwrv
y9y/NYn4URbsb0MTtHwfeZKlgmeAfaFmyyMkn2dFsLTjrB04OLcOy/4ydrWNMVFG5ZlNthkj6P9c
3FlnDu1zJEdl2LuRHNshy/Wo5d6iVd9SLSlGyAMJjYZDxKH8Pq29ApByMXi7tGUBchrs2r0O3LAf
rBqf8SLt+eqxqeqcL8qI60M0ZaNaNKCnvzZ8++OlQXk5e1gtEPaid0txq+jI45Bg6PWhILRwqMZA
2zTEB8JdUDX7kSrF+0i28oE6I0ss6o5SvygN8FL4gIFeS89W6860s50Rh9G7x9SPW8MDXgb+urFP
OB0Mtkt2yTps6ttg35WcdHur6zocVRM4OC7tWDRtRnNqe/u7BgzKhUBkhWMBWD5OZJiGQP+c1hoW
FBK3L3pgVe9Vrcev3JMhHvdZewepMLsPOsf/gTG/JQsjA4sIXNq9aKmczpku9uRykakyy/1wct8h
GEZcvaUfpYNqR23f3im6fcbVdgm/yRxXxOZneTHgXWRRF3nPbTc6J1ZT8kNL9ATWXmvSfumWcX8N
Ktt95j7ir0t0j02LxKmx/BFlsITuGIX7Oh6GbymnGpuLUQjSMs27yyA49IB6jbRLnLiqXJhWVr/S
DJeeLUkwmG9xY4ul6WcTqPMq/bAJRpI7pBNCyd7k3JgHewSrbGWkET/Wsmiq+6myqCMgO+uNeIwQ
FNaj6et3ZF/7V6cf+++BF1Vvnk19Sa4lHHC10A/9xVCN2oEMdXehTJItjqVq7Zutj+p+pIaEOmiK
hnatoJVrJ7S+fPPDgdzsOAXtvjRgDaySOKlYnRBNfam82LYXQIaaW4JVHSfvYFXgRUu55zdHcQE2
PXLxo80Jn2fury1R66+B3wQ2KQQ9HVZGpznbVtrxLfBLMvL4BZc5kgWQac+GQWkRe2GL16EwpaY4
jX1THYyocVduaeskHVoFvpQvnJAlhC2wxOuK2MnSTcxmTWOlj7NMlVejVc1KoYSfpIZ/kO5KupEH
kZR7Jewa0o/M69e0TmYMRtgqg7C7Kr6kI7zvdUMBRkXLVjV9p57TusNkAozLdL/aYeQ/CcgR70Wo
io0VwfNdDUR7M9wsKXTI3k+5IiLM6vtY6OLOn2zx1jm1BFJaglQ2Q2eiAs8ara+iRyduAsN69uFr
xgsvswYWYzXSZ16YxY7yBf41ndrU2yVQSG4eWYNuOZAHeO/8jmqc3CnfOJ03V8cHmrpMBlN/bScG
SCxyIM7KXlftAlK58eFX6ErrIHND7QByMPgCZzB/wvbjqo1FxPfYktHgXKlp9ATVCrmcasN9EqYX
fWrjL1UuzuHYQd7POpya2hq+LeLS2PhXu/H1cwvmcRX6GTKkAyn+noIVbeEZodgSaHbKhVN39ldf
TCbF1ORGn3N7FMhyWc9y2dAsA3+VinXag8LwrBpzWvfkU0k0STgkttOsptKSmFD19mSgALptnX2P
EhPsVty64rubsHpedBCpV6nb1E8hroSvLpnPTVfoNDTyaU4z6RVqWGQOKQwWK8XeGjisdOI6TGyS
G3byUZIEyhccPmE3apHk0mL1dwWy0YsMBvnIgiza6rGjcT4I2lONpsMWNnW9I6ktQEw6M2LWhwdv
okN1k5N633mxDxQsN8P0i/KEgVmXyAXw8NgBdVyWJgaeYJqOqWaUhx77x4lXKE+mHcffginGHEwy
mrbBqtuEvpXvKxla2JOmlxImBTZ/06jfQwSai1VViGN6XO//fUrOm7gZ//KU7M+pvv87xbov+l/c
7Z9/4PcTsq//ZjhCYJO3f7a2++5vSBQsykxBc4z5iYD643RszadjA/wrR+fZ2c5u5ffTsU1Nhzub
5Uma4sGZ/9TfADYCZvzz6Zh8P0XWlmvOMX/OydYvmArST02Xi5gKtiobjlqiaEtMzfQ2WE76QXpq
2kNi5b7Eeph7VPp5u/q8cX3ewwKhtAu/a+5sXM66i201wXM6cZ45VvNNMGrwf+yLz7sUCDNLA7M3
3zKNgIF5kOJ5dJr+2talxaZyzCRdiIknP7r55ttVrfccQVRmKPi8Ozefd+p8vmlzD9pH820cYU2u
k897u/t5nyeI5n4QJJbfc6aAkL6oc+IP3UsTV/aNQYZpAURc8KOZR4hQ6+5ShCauwCBtXqd51LCJ
N70Q6aUdZ1TRDyoTmEcowKP7oR7EpcR2gVd/tBQWvXC4m0RtkFgEJvJDZJp2LfIEBUt0WXjuNDPY
u5+zUMiUweqhsOwTeKg0wXszkefkZxu9T2WY76QbqDWM9ejVgLA4LEH2eVs17zNIQ+KWGg0KPbH6
Mre0hK3iXoZbuNbeweGMttWLobRAzmXuQxaFNOZRfS7FYiR3A7WPDivmZnw7GJ7swv8YDR0XEXgh
gedFdhy8/LpZmkFaHdogTdZs3Gmt5FQMwroa/OOMEfjcmMBC8EvvbGO0x7HbifbWzdTKkFD/jsI6
RXwg8JqlH0MDWEKxLB8q2TcHQ3jMR5ROXQtfgrvXIO3dGwg+Oi1PU3IPkmYOjKGyfpEtdHe3tRuP
pULBqjeaxmEukBI+fnE3aFYhgOi1pJLoHnGcC/4QM4igmqNk9gNmGdgvzaEh+xot3GgIL15T/gCw
OBKqbKYqXmn0O/ygXUzaC0pYZL+I7an5ltf4hXcATuQzabtkD42nWgOaSebWVrd7Lw2fNEBfc8vj
LrvxIUEKsgKVtTEKn4XKEBv9/dSoMHmudMoeuuukeQSw2JRw8N0Ko4tv/SiiCyac0ZAffLoQLpYR
oBXeWygWKGEneC9jQXWIK7LgHCpMGplRsFS3mw4ppYeuMhrmU+jxGJDSV4mcHmw1hAAqWR0vG8Po
8l2QGzPIn/mDk7677EhBHxjM040iUMjP26qXkKdo0Uv7hci5Bdk+zhmll9myaoxgk0Qk/DTRwBCC
9bOoQytbydQ4mo2PLqUTkR4K+8audidBYp6m0g6AONScWHRwnSxbeN9b2vowENljsMq9mm+gnVf6
WWPH466Uai08FgHKcDI1BzOrs3XMSos+Xr8/tbQ9rnpcZ1tsaG2DZ2mqjq6q2gM6bHYbjdyGb0nm
c+smOQ5AX12niB9mWiQ/gDo/AXBbuNJLP7y6sFeJS0loESfqUWtNeQZYIpYq5w4cD47xUNspVy0P
lZBAAcdC3cWLjqQYLZI+9JYccpD82vSCNPzs27VchhM/bK2wdkkT3lzcEVRpGMkygFG/TGK9cxYE
RyDkTC6GhtSd3+2ifwQwFbGMGf29KOxpbUoXB4qZmDe3nOdWOaXr0a6dPQ6mjMpdH1UttCFuOjN7
sxoIEY6oWy+WtO0vInOSFSlbySIMbqdoG/FIOKo9lp9YTz9UXFPYf3GSiWfyp06RGumkmQeqU8jL
kRZG6DTTQtOZG1rMBNF2Zon2n1jRcCaMBias0WamjtK0Gy6RB6tzNjNJRZ3No435rrvI8Ng8us0w
M0xhfTVrvEqATa2ZcUpbHVmnT/CpG0rebfMTiIp72v8Wf2JSPWtGpsYzPRVyTH6K2Q7cJ8pD7NKh
IHUzbzVrIK/qM4M1sUW7qRVcVnZB3iX6hLWGfPxfEnybptNi45iZrsZMdx1lCOd1Jr6qEfarMEL7
QUB2vVYVje8ju5+NxPx2102Nt2dZQ/KZPC+WxE+wrBXF7UM802a9SFnv1kygtawKfO1MpfWMUkHV
dox7pRyq12d6rZo5tuEn0jab6bZN52OpJ2VxUg5yiD5TcLtEEf20PS6ZIHKNmZUbz9RcLW2FB98f
lm7INX9FjQcZp2Bm7eqyjDbZzN+NTRk8RZ9QXnol1Ru+baoep5naa3bwe2llqMCtA/XNZrrvNHN+
rZn4WwYJ8F+2+4CABUhgLDzmaWLgPHEgABgsXT3h+zZThN3WeMB9alL2BGN47Cv2X9QJRC/lzCCG
aAEz8RNMzIWp2nFHH96jmVtsRTbURMB3A0soIve6aU9UK7XNgc65a9PC4SdYYxlNA0IZlqyJp6g3
Uv3LSE9XvsMNV8cvNiZ++meawm25E6U6Lo2piND9c5w/69bATjda3UChkD5MH17TuesgHcmvgKgS
lHzbRBPqug8WYTS2217PHnvoqVug0iFdX+Sx+Cjliv4+ebXmCJiTi0MbauWqoiZv+e/5+P81H/um
9y+N7aeihRr3awT0H3/qDxnJ+42pzCQ3Zf1jrCVR+oeMBMd8FgBRQV3DMpny/ltGsiCZm56JYdxj
jPbNWdz5fVA2+Qt9lCVGa1YeuuX/LYSpNauZPymx0EjYR/FtcuawqWCq+kVFGuu+pRIELHEeUDeX
JJpx0yEp0OQQl5uiSjysNSUMK6WJ4BGgJUadLA8OWh2j3xA/Y4IG4lbobr6l16Nbmh2h7oXnpdqj
V2ZqJSJIyutCb/ylQfrk3sghHiYzEZDqT/lsm1xmy5msRowu4FZsY82gMamj6IubuhHqdQ+JTZtm
xK/70Obt8BdS7C/YFN6BGRILRdNE+SczMP//P+m9CQMj0BGIaENtDBfmVegFIwBDs2nm18Xz/ukI
9df68ufj+ZZOwxFHHRrCZ238p8czNcbUME3Lfa/BwRtC+XW+A8+Eyt9/t9+G/wy/F//LI80K4J8/
W1tYJmMoTn/fMK1fXtnEJWxStMBy1KnUykQRW/gjZjBM8vEDViN7O0ZJcPvbL08gnOqGy5cJdtAs
r//08hLdJFeXK7lv3Qi3tDYLQYojmkPXq4Pb/O8/moPWit7qodfPIu3Pjxb6Xh/nWYKvVO+d9C6v
s2mDss7U2kr/8V8/lvGL4jp/cjigeBBhIbpy7v3zgw1Y9CLiEPG+igbJuBcFXIKrKitWXm1wFCEL
cd/WrXHqQcvtUDubck0FnPrbr3mmeOLP1xF9BWflPz8NNF8xUlua7KsWrMNqUKOizCwIHn2Xdf5f
PNg/f4ccHWKRaXpwt2m8/CX9Uld0Jze1m7AgnaZr4dVq1Wj8glnzgSkZVczoJnIaoP7icX9xYfBe
/xd757UcN5Jt0S9CBGwm8FresGhEI0ovCFIi4X3C5dffBc7MjRa7Q4q5z/exo6lCFUwizzl7r+2Z
EjZWYAkRSLGkiP71wmZRSmavIPa1HJuBYTNXc3T6kfD1BDXs7y/sp2O5S8QEwmqLUTqrIETdX4/l
JsZoDXGQHBOribDwzaDba7OdzxE5U4+/P9byWX95Jj+O5eEdAUwrTddbIir++rvSQglYudxDetaj
talCCSspcQZr8/vjfOp//Os4YKCChY7M7Wr/epxe5F0rqilBVkyS5Qa9DT/KnUt2YgOs3zhJCjy9
2IORf6FJI5KsiOLL77/Dp3tn+Q7Ujyx0aCHAmny+d4bZypKGpLVjOHTRBtVjY68ibUSX0JmLUxX5
JDQLZ/7Dev5xCj+dYpslCGUUCg2GPZ8u5xAJBmqhRPTF0PBri3rwRC7xfF2nZbxvnZq8NmVUEyOX
eYrkGiTnPBxHUU4/aa80sLrphJxID8Q2a4KzChk/nEKdGne/Pzv/9D09LgwkN3YH6EE+PVqZ54Sj
loZxgLMqXue5d1vMKzluffQVozgw2ahpdqSGRCZQjdkFeSiyMYeIpGOfVe6Zbnh4hBTgXEOF6uQO
x0mV0rwO5LD//Xf9+13rm5xNPFvIXoT4/FXNgAggpjWo5wKTPKqMnn1GClz3J0jb359EJDNcMikX
9h2U3F/v2sSwOSlGl9CYBO8bJAtBtMwq75x3rnf/+9/0eTnn9vRN9Dj2BwSU6fWn8z/7nde5U8py
TlzZJvLDYUOBQuY3jwr14sLTnbDnWP0kvxlFGe2nylN/OLGW6S1P4q+3q+8AFABLz6aAr/PpN+dt
bdg8GeFB9mM7H2Vus5iqYHLqY9TX+s5whPnqLWTkBAXwkrQdp+RwJ0xRVwQeeWeSv8JT0PfzLWUa
bOCuSWuSOrDaYeTICn3J444GJCrKLzp3wvcBI/eTP+f6Qv+R5KygacVSTWa0LXzvPLQmCy4VoP2F
mDFxL+LaPCjM51cx8wxyU+vEwDEz6rs5Cp1+lZcxsB0G3i95OJuvmhz1S2fUwDiCqQzfgeh69aks
Gmrqkg7lQTMk7iBpxQtyWbbLHqFicLoiIMJ9iRlV/ij7wnkcaVCCBAyHAicGU+b3fFDuuCnwQMWo
O9P4Aj+hIGWPpcVqh+S1j1m8qy7y3qEr+DaeILaN6zI0MemNSRD16N+Fux9dk80QWXHdTx/W0bZM
G/nNb8bW/0Lbg/uNpz+CdwXyidFYTdSXb3esncyY5DeNRnQzZUF0kcu/7byKrzF7WAOaZOxoPSW5
8RBUznzhPZM/Nc083nyc3lCAYrfL2LyrnSYGmKrhHR2BfgrnZKMRuGSMlbBkgKOvt/JjtUKscG6V
ZoXyrcn4XlYZd2RlTkBI89wCmZjABFvNCMAB55pm/IATwf3atyaGOzsyy9tlqrj0GficMU7iC7NL
wvAamby2ZoCHMWzbOUJESYjBCtCkdw+Rwnn0ywHnvGFzbgs45a95VNg7i77TS+o15Pjx0IAlCpOC
tOjRmChxM3JsTbhssKHcId5I10q+A39iacJUikDFROjgLPdhsWi+/J4+1HqOfZVs9GSxgbGKSu9I
EuRekoXSl2icMcaGlF4z/OQBNLpnkAW3aAA2fbzAyFN+QLcCbw/dFcIVolqIsS/xGJlU3z53L6lw
020b0mU/9BizrjG8Gw+CHuACL3GhtBl5esr8fBtosCJT6043ZBQ2OyQRFgIw3IENSdjr2ahaaLBx
QsBoW57HiN4mTWDSduzOvFhOqU99Y4oD45HwIVJyW7kLf0SU2WXmaGtmb/Km0HKfJZqkNkI0mayl
zjcSTuB5uQUN7pm+cUYgnmlMem1T860tQQZjMCG6YnyL+Jyzaj8FyXCTROV8Sq1gF8c0aGmxV/iW
HBphBqQMAgaJwSn4WaC62jXmgJwR8uK2XRJvled+Q/XlXGCc3LQT6g6Mo9NmmH13zQuHYMYmeRRw
8wgZrO1zDqjG7DNvXSuiZ7KAQMxMk3wQa1NsgprgmiSIv3Tx/MoU9KXujW6bkvO6wa4GrxFq0NEw
/WcAfOTDDU6dr+cJ7BxKIvt74bgnjegS+SChSSKBauCKh2EIz1Upo2dVMxWN3Xk6xXnBAuwue6TC
nq9F4jgXYBXNnQVt+WQM+I+0FleZbGafaPIC/VGA66uxo+6NXnV9mK0KxUoZDiFyochJT1blLnBA
I5JXvZfzhaocP/pqmG396GnX2U1jjslJDRhK6To3N2yU3HgzCtaLTEJwhuIdPTL2H+/nymP/UHUY
gFckcc2XDFPtMneWOzfDRJ0WDCmnXGCqgTLJQdlFX9rI/OJ74/hFjvO8dXTfb5f3D/3VqsYvmtRN
cUtskMbIjXHp6BouWwE7Q4PTzuxFMn/iXViKbi3wwbIUlSMt1ZA3gowCeahTSp+e+29TsM3bBdp0
9/04uPW6re3ipjPVk8w1Js4RMbML+hBpC4yjdENIlZvuvNSms1t32Y7MLO/WRCWwE7KPvqo0Gs9O
P20U1MJTiuET7Avuvu8OpPRw5ZXoM9CFtsaxDNr4RFsRkZI9IrTQQ8GNmbJ3oETIjbt8buW2mFvs
B3Q4zYL2PynR/rtyJ5rzorSwhRae/DqNOtB700sMTAMjU5KqZz+G7f5Qax1cT0Yj0Ax28xoMIcRP
1UgcQ2NAHoNlE4xm9e1bbfv+th7T+dQo5yIL17wEYYvszQ2sK9dDRIChTO57mQd3ediQTBCCGKT4
T2OXNkVrPRjEUa4tlQcnLirQGo8BGy9hxjyYrt0fkza7OwnY6Dg1JeHaFRYFX3AL0MAHWxNG3n5E
z7kTdPZQESQusbhddQt+2oECY6XHMG3shTWfbBy0Bs0QWvvB87ixg/IiaB+swyKwb6Mmhz7XSOcq
iOAOtTVEgdBrrE3hj9U+N0k3znXnv/SLLoKFplkP3Zg4a19VLbZE3EH7eChtkE6jhUOpC9EkmJNz
3Zt+dWNqvEsMUiuxqkFzE2WeGZULjWrI93lWym8embAP/LToTHvYrzCCuPlxNoL5TVGOXzGs7O+U
a2AzgjE/dGuwUbzTSQpv12U1eNdU7EvyKXLEcLCqU27NALsHVV/GtMiZOHrqxu+m6eA0XUyEQ+Af
ikm3x9HHNjtgNj5XyMsuaV/6ezcaitcl5RJ7Zx00X10Glzsh0uw98Ap0zbWsqyO6TXpJeNqfZFd/
L/jobdtU8E8DT2Os6khAfjFrNwVWZHSgHGo8jrxcyattyAbeuGRdn3EGEqVbpVuueLLNCvvHaAQY
fbF8MCwMHMKwo2i+yKCvXonIGjB7p8bGD3gHEqWs97PHeIhQEnVrmUP3mrYZazZ07gLHbNBmkVoP
Ls4271ERHC27H4zSfWyQbjnF77EB6EglJAHyYKuSMkkZ742Iy8vk1fZ1Mnr9I4LN4dVtE/9b1AfI
exaiFtIcrLCL/oRRsyTspCzKgyHc+WTbKWLqQgyEmdDGN7MCw7U/wAFLmxQt4JhZa3ZR0fVsz3Kj
8oauht2ETGPzyeFbKWinZWpe3DHJmZeNvDMgp5FRm/c9mfMsTjGE87SZDla4TERbGGAb5doVy9mM
gcl3Uhvfvmcz4A0mXiMW3SHuyxzYZNRp44HcMnMXZBg6al4Ke8es1akm//BHTW1EhQFepsTm/960
fvI9tJdbmY6SeYllbQNQsNvpIEwnfJo923kx7Np4twlIvQJlGz14pU4hb/CxkzsFjxahq6QQe+33
sHYTtpNmADo3eWRjTAhpKCB8Zc0X4RDGu0iXNMtrmIfcVMWT6ZXmysTVKwfo9Kks9RoT/87VBsaf
krECM7diNbE5gX1BhrBVtozgqLHp9hNHHUzJa5bbxI8Z1MkItlXFq3IxDxr2rhfjG8rGYE8t7wK2
tIMdCe9ynRXiZHekOlrJYK0Kb0mmhhjARMcgfZjb2Uwn6zx7BV4vi2E7HxxXvb+35yZbQc/M9wDn
pvtGYFi3eyjFhDW/G7XpQLeFPSGGwT4lNHa3Hd2sU9LO+SEwaQ/Y08DguW77fU1CzGummL1R4/PW
YSN0Ah/mgulLGmC9itGumtKrjKDIDHMu1NJ4WlNUi40iWGgUpoXscxIHr8WzaRaDT2lCYAyOcF4Q
VXg7WZ1J+mVa73zVvanWqLa1Uem9JZKFhxd8b2ej2LVzDd2ypnegI/MIyg1zgvGSCHdXkbvDPiW4
hhhGaHDzbSz0TU9kBVOXR2KDLiy5NIyYFZ1Fq9/TJnqyAjTgdrmv2U0jGocMYiYL2ZUmpVRgWzyz
W+s26jeBYXmP1YIDMSv7dQosNlZEcW382D7m+E03gW3u0r4+T7EcGRuKH8WAM9ku6GqvPIOKIBr7
/qt29A+A40eRgjFuCF4Y13MwR1/NuotwubV+BowVD8Q8k6JXJc7e0tuhSZ6JuEGpqOIrr3k0/aF/
aPwm2MZdci+dKD5I9HcEjgz9s2G3/nbCVncYqGGu+r5FuAU+gcd8Nk8eYZDPxB+U+6RoBJb+mOCS
pBG0R8d0KScIwJ32FXPSLbKqbElFIHQa3a3R7uJi+kKIS/CTwT2ySqPOaeiQUd355t4e7NE5K78A
AQIJaphuc7tdPs9usvQFfYkYaVxYoTpGTDyDnRyzul3R1XQxnJrYVnaYZ1E1ZOyHDtLpJUnoTH2T
DSjiFP1xQNNUdCMlJ9CbddvbsIUJ8HvvQsEDyFEZMXioGlq2IhRSpJFVlEURt30PUDVErB8tMw30
F+E3Io6NbWg01BiV7cE50yTW8I578ptwvhiAFQiCwpin5kaY16nhkdqtlqiEopcsS2OXOkB8l+oE
Ss3wlmpisVIBddq0Mr2zopb0moyUiohMRW8TudL6YnUeLFvUgDX9rsF8BQEhvIuKh6XkDRRs69ir
Ozw1A1uH3BDmvrYIYmFvz0dj8zZA9FGgbzxCq3fSktRX8DK/i7ywN0nL9m/lxvWt18LNRBxxRFkM
u5dX/tHOOl6knROenNijKdBR5OP1p0ewTGo+jjfUrrGdK9EeQ0E2E3UCOhuCPJ4//gRiCIA3Qdn/
EZMlPU8fkBHWL12BL2g9tTZdAt8Zb0bNtseg2GTWo0txH2ScTPSJHrwb1ew+GsUgaRijTJW/6TP6
xnmR1JjdkjjAycpXLGJSNHA6lHtReN3XKlH8gCTlE1lH9F1H4+XWS3LruehNrnqZkWsWjlN7bL1y
us0m9rsaA+pBZz2xZvU8Kwgx/C6Y2eFD7VH2NUNck8sxp82erRq1fd/nst0M2cLfTjRdEZqXLAZY
U6HuYKSo3MFrjlloFgX3v6mNq6CK6heaf8nezFI6ir4+B23bIV/JA0J/eHdgYygjXe0UqnUAxI0y
rz3gI+cq1UzItEfzKtTZ6eO+MwjG2Q0pV8DRmDdgpOm7GI43ZRKmbb5fjITLKOmuoSZy9V3eL+ck
75myERd6x7WaritJ4Ao2g2C9kDYudmmV+2ppxXU9qTsS+8IN+h9/UxHKvYP+ri/KNfnsYFg+ME/F
fWQHBh4lWO41mSkbJWt/M5XSfCbBRgNCctujLJf/WynOliWW1HfLkfNl4IO2s24DD3u7YT7HMEuw
YCpoSknHfR8bbK8JPEGh+tF4wkAdvmvLpamUErrmaD4Uz0v1QisR9DGv8+FRYT64CqwxPA1xWL2E
MWF2S9JyjbmYR9h1emaTowpPYW1VL5ns1BHiseGs5m7ITYbkeWh9oTjgF5a2oP0VRgDK135ILB2R
pfYVdUv7lVhF/qDAzH3qK07T0BE/NmYKsujywNpdFv8sdFG/IPvm0FPfDSes3uFR0XLFlOMb3YtG
1xyZdORUw78L2iVBAodI73UDoWXgQWpV/yhNP0ApRjhgN7ThyVRcHaVCHvaJJzDs54CORRnsVTuo
bVSJ+eLQAr/UBWlM7UiW81oLbZ3zyLZuSgfWP2xsvrmi8vE2Jcvh3nQ8mh+MRf2Nt9wFY01rzqs9
WgoEV4Nn8RU14Rj03CVSm6+RmZK+JXwDZ0lcB3tZtR4xBlSnSI1ZHwOXMwWt0Hgg4z58lyHR9ivi
prkHWxNqAyb+8JRgogvZB8z6YMglNc+XlH2+iIc3X1AnwxawpucOhz94a3+J4WFD3tJKraNtzLaC
NyMy8yurG8rreFT9Q2KO/s96cMP3pJqC0+DhHoElxZvJTcZmN3sSjz+AVkxzQRN+S8US2NW1SKwI
MaDBvcnr5D/pbP9vl/2TEHhJlPxL9/xvdtnLS1K+/eKV/de/+LfIQWBtJbjVFY692GK9gPnBv0UO
0gJ0zfsj8Cwy43xJx/8/YmAMtp5Po5+8El4ZNpy+/2gcliB3lMVMAE0rYCCA/OG/EAN/HiowTaBg
5nOYRUGmF5/mQTNRYA6UJRQE4XYOtt58QYzzl7PxD5P2vx8CkYeHOYphDgZ+69MhGCEtm8NAH4bQ
wcpAuAJ4IV9wSv9XfP1/OMryLf4yWkddOE1ezFFk+b0zvlfTm/L+O3ECQ8lff8in8aRMKpfSnUOQ
XyXNOyJhG/36+18BEG75lL+OPHwfCIvLkMfmzrCsz6KTjsD7NBqa9uAZZfsDej12VRYEe8u+Vh+8
EPg3FGVWz7znFd2Z/W7qnGmLktHaz9Mw7hNw+U92rB0L/1CXblol73DWDd6GvSgUopb8jgoz4sZR
E5nnGOnuE9Nm9yWLPn2Yl1aaTGV67gRhQ35Fs8CvwSb7Hdhvazj0OFPR/8WYGZlPEycj4wsMO0JA
mr5aiaStKCh6tgNmLs+mrwXzIVSnmGfn+GI2hmD9zue1NmmMxoYHZTfCRAdXGesdPpf+qscN9Yjr
Id/EdQwsRDY/BKFAzBoL6CRGM2w6qYu9a3dXbmarx6mc3bsx7K29Qc9qW8FhZJuDNDHvLXcHqKuB
nVBbF58KfwupaIJJOQ1fHKn4EF4IV1ITc1tp3yafGJfehcwRngeaA+uo6uO7MB3GH4GCaTxoB4KN
CNGUyiHleIl+G0sRPsc1So4NuC39yHDSc0AMW29tOxn5mjGaejcaF1v3lObqCWAiZLxJKPduGEw+
aDnBqDguFWW6WjGXgXI+e2JT1KHCjEafA7kybKQQFRsKbiAstGyI5evz1LhOI/dNdQZGv1n1P1M9
PbrafgtQxX+bbKScbm8kzypD3WzONH5XbdwQ6jC6b8uOmGyhsdGHtDEn4HQ1F8EL8db2Jp9XTHyP
dJLZqQi87ikx8GfBa5Hnwu9j3shjuHVAHe37blzkn3B/otIZNkFbt7CFqIIq29Y0hYSI1gGIHNJu
ZpONeO5HRCa79oFiigPYekmgSNUeq3x2SL10IK5E9/cKKSO1ZgAcL/MT7y6P4ObDT8lOjLXh/xpV
vx2YHN/4AacTDqIVbgp6uRubtfNajXD9jiljGhIhIaTgfUswcvctuyG3DyOGc4l5n5Z9Nq1gvHg3
dm6l+ziKzL3ltuFriAYfob5thNf2GNBjzmJGWivXKnFm0ui7mWP4SnM0izXOBveEZ665aoyluCn0
cBRBLW5DwzH2XR07t9IqoqvR9aDKNOyPyCQEUu0NJtMXGhDHplVgnvspn9YZjL9XxQRyFdRjpVaO
0Rv7inHQu5tm/jvtLbXuwCyfW9wlrzGxU9uob1zQ7ngyt0anAvrBwXI+QrS/G0tPP3NmNem6G6Z8
G0fMKq3Omg8F5IYrfFbuA7WD3oazj6DSQeW692XZ7r3RHZ99Oxy+lyQ+35lFYx4GRKkCZMLEth5w
HI1aupw/rAzhfQOs6hrr5vjSAvG8lH0U3JCn6DxQBDBT6jpKTDAM3nm0o/nWGSgMo7r1b3FslS9z
7I137TxPt1Maq+sJit+VNbGdRgrvnbOaKsxqPEKNZyXua3zFG4U4BH46nbq1ZxLmvWrwOhBwaOOB
a7UpyxWs9UyuSiG8DfP/ajeEo/nuJoJkpTivYgzCQ/rT06I74ELstqAyuz23BsNLwiB29Vx3e1WN
sOK7Ouk2vFXcbW+6zTkfycihkdTED5odX7SCysZnemEsNmkgIfHR/DrxbaMHm6jD05zNzZnZAXEv
Xpg061SUEHq8Ig2OPjuGXYVan4lgFBw9CLc7RS2B4jUy9m2cJYj5BYSkNV1CytzAVFtzbtvjv6rK
uPHnXYiQeivDPmy3NqwlQn0U52GqNJgnqqTbMm+bV4S9imVsyO5y5MigzoDDKlaB7zhVNUA2KQ+w
BoY3aVJ82ahOzh8101glJMziB6a4zSrrVcmSgWPO3v29C5iQzx38AERDFLxLiWWXwsOFQm2EaoRE
be3JpQpG0YhJVW0HP2M7yj38kcjgb1wrWiYzyyGZ/dFZoQszrPvZZu/u5EtjLVPdVzjA3Ya9L3/q
to6x/Ygx/ijn7S6yv9AVZuvrxtXTkBTF/iOsmYo83CbaMheyN2r2hjamOS2b/ap/IRtQHX0p/GwV
9cC+/DAzD+mYEYQ1t8N1QNOZajVGjd5aQXIR2TRcLANE1Ipp2XSo6O3boDot59gCXodv5Q/FCd8M
tQBgOtUvPXJ9IBebL2xORIkCExP31tSZzx+T2sRdOjMfck6vJpNIjksIsK57Dot0OTxN2ifgp6Wg
/YjPxU+OpMuYuPS+Q7BmJWmD9LkT//yoCLOlWi1a4Z1D/CgUKTC17CbCWwgW2d+zG22PTm1kT2OQ
BPuSEO/7gBDUrUfOADMQOgvRR/9oedkRhtetjJReyijo9jgWpVMVMI6J6SndOpACXqyiAaFQc4OT
bpKdNHf0GhEXNgDXLN9S3uFH5r7dQ5cJ/cSNFN0K8oBuVNoHIAQY4wgX8WjS1uXex3jzrNiQqlUP
OhFOShnN/6r87NCYbskaJUvWMIe3oQyNx2IxWWulUmvjG+Lf1ylTU/g+m3zZyXXGHZFM1jX9EOOB
vCYWGYhrJ3irPYlyU/Kt7Dv/LqgG6Axm7311+tn9OrSG+zX16vmaN5XYxU1sbGaojBt6C/QQoX8s
4WXtF+yu5dZuy2KLF3S6/jjrymMyX3W+f2MviQBlWfHi69Iz8EkLegVxp2Wvx3XFjbibwNSfJTOU
bRkAkSxm5WxrMitoF5lAR0IZzKeeOvomxCt7ZOTP2OXjXta+hcrHcH32Fb571jDar2VXhlvGGBFA
dzWArffK7MZs0uKIj148B2E47FWItA5yPy9DkDNcfo1gOesqfbEaGmDRGDjA9GZqek9bS1sCyUM2
ExoeN/PRBt57I1utIaV58OCZeM9PcD88mDAaE5ZG4E/TLcNQjVFq1WcyvYFXYux6h+aX2xf0EEey
my050lds6+mmkR2vbuzSOKKaitbEpAuZbfCtknBI7liw5d00HIOWMeUqdDsGYAq635rU5uqhR4m2
61lw2AMxEDpbrq1uGtqGtD3FgCqaBs484pxt0JDskPvC9gNIaTx0hBK3a78Y2DG7+AxzwttIjO94
NIF+pSv9oc30h4aOf016L52I/Mmk1botajpTTpBYrx9iCLdgwO2OIznFgU8DZUoqZ2W4i2aIqfE2
QR3KlAu9T5tJeRKjO299NbfYtmADwkobEMoUgRimlRpQ8qxKMAZ3pmAcAgskp3cU8h8PLrRVBYkg
Hq56ZeAv4k9vU4cEIWJgmvDQkUCyT0xHH1M/BJwM12v5RTcynuw1zY/4mnhuMqL7pLjH3dxumV2X
W13Hxl55FWhzx5vt73M5+8BSy+YetwhiuSwxzkzMbvt6livwgPF6TI03v1FyZ7nls9MzCsuBFVzx
M7JNblasnF7UtTvfb8dtRRtmH4bMjaAHqDPinxZ5WGPKLTvEmEEVUFkVz7c2vYg17MvihyyNH/T8
bia7c3b2NJJn6FjN0Y8B9UidPIxVrNetb0QHVqs9J2JYI0gtNxFzfOZg/jPJle1apUvCXtI14cYf
F3uqw8DB9BUzdq8mmkjW/N6y9lx2VTZISPxENECBo5VxtM7IK9mKJEfZWTlDv4d8F3+P+sE7ZJOF
1GfugQaC/63ua3TxxC9HCKJWhR2f41TUt2WZ1c9GlJUr3urFN5RcDOMGiULMQiazyf2aqM5h1gBd
g4w86bg/GDHQxA0gOffW9Vt9m8IRvq+xWG1RAEjmf1NbbIQWYos1JlyHLRxXgkDT3dBklORmnpyi
1JppsCtAUK0uzjDtHPq6uRe0m7GKnJERUT9l2bkrX9neW98mUfoXK+iVuW5tANhDk2LFt6t+vA31
XB3VTJc5NeJup3wkEXYB0pnZhcFwpm25ipsp9F7d2G3G9YCL8sa1VHpXeoosv2Ruv4mW/dVqsmL7
evYD9S3LY3mCI1h+DWdJimGD5/fJXN6QwipqWt5+fJjKsj/Hie9e4qJTX0vleAfMVOMJh/Fwhiib
/VBuitQgtri4Va/C20HWxc+iw68KQdx9YZhS2TwitTxZme1etYp2usAvQLNzKF1q3c7tt7Oh3Een
lMWW+b5FH3sY4uvKmN+yQfrPdiVLhvoazFOU64W4n67ToZhX7PE0o5QY3u+qB420EXPLSpbm6QH0
UQ7uRZpcXt62p5mqAhmpo1ej5QMLq/WmS4oHI2cuVSqgM6zyKxo3PuhF5laZVX9tndSBSkBfl6mx
bPqNx854XwWieKiyorpSOrePbcsEl/18gT7CYWZa+z38o240igPlkjDeZpWjGBmxDVq98J+UAUeW
utPfU8WMK9tIwke6oeqKlyLYnLZNXybLqR7TJmue6x5Y1r42PIZUSdgk2X6olqwR8oHg6RqqvHMB
Dpbrjx5l1gpwgz0JnafB7t+i0WeGR3uHAEq/PDvsbH+UNZkiM0bwjTCya10NOUAzx8j3CskRJsK0
usoGODvIJ2t1zRQ/uk7ZDK1SN0874PJeg+BHoE9rMUXy/P/EfIiHlHdasALDiKswVKB/q66/zTBT
bFzMBU9T2zm8uKS1tcoivAN/XL06Rv3dTbvxO6qoe01mm7uT9F03Bi3XPegOVvaaKE4eNeg2gRzV
Gn1YC0UsB3YeAr4QcW/u9DBA9+GOPxh+5e7jWEjIVsRFrcBxymNMusqBpKHolRY0YA5WwpXnGBFD
50k+UOrwPkGh+H2hhm7qKPhK9uJ4NmuYnnyKjWi+Ufdu4v6Uud/eDJWacbWEgPozxC+ctzm9BJB2
9kCzOGMYHvdNlILFMQJOihPKr3KI3YdkAN2f9kRK2m0Qr8aSPdUcAy/zIKkoJ7ZvqUGeWJCzm6nW
4tQgMVupUYltnZfhSxVkep3TGIfx5KTXgmCxklksVYwNLvQwddBTomEsv5S6g2ZjG3dFUSgCbufi
LkwMcSsbM9qIVNjXsN6ddyvCAlulY71t+wSwJ87sm9Kb4qvcy0j2qJE2oWTUmO+/paXB1Crr9gXL
7XaooQxrNZl3YdgLLMWoiiuVVft5cPJ7xYq76sHQb4NgMPdEWT5EPcyzSZri5ETVvFdj+z0OSnlI
QV6vGVNMcHqkcYBdOlyxlZOn0UW00UVNxv63Kt97lQ7JJlf1q4P491vnK0g7UF/j7LX6COm16j48
+2OYbuiWjNxsnf3Q28Y0r4FvesF1koPJW1dlA0DXaYG575py0pRmcct4fW7zh7IIgMl4c7CPk0XN
TwvrARnk2zQhMjQ1W5W2cdqTqccf0qNq8HK7AM7vUSQ1KAo0QNNjkQTWYsM/GAhTTjz/Ht5f8VSg
qFm7If5/doX5hnbHj85OmOSa85Lmwft1HsdDP4kXSQkyAYzyWvOOPZSgc0abyOh964cb5OPZrTxn
KxqHRkqGlT4KrcMQGOF7LBzv1jMN+66bgvdmco2niEfv0baXJGivq4jVQMITbjofK7gBIX9vBlO/
tROCSIBCExOFKPkPRoW/d0Ex8ElP4OYLLN/+7OMRU25DMfXbw+jSvxsMmnFJXXFPNnvq8eIPSvO/
tajB7GIYshDxA9cQn00ukhQV9kmyPcwV9EMTnfQqKeS0zaM63/y+w/tPh8JuRuKYZ3v46j4p2s1O
AOyeLH5Y7EcPU+ryykgH62IqoAC/P9Rni4nPr7JsbHsuBh6O+KlfDa3ZnAHJtoeyLfurLFcL9Tll
y8nNu2qiqdhjCp7/2yY5B7Utx3Low3n4Nz4dFI6mZRugCg8zDLwVDGPe0i0tO2pS9w+/77ONZ/l9
PNCMMCR2QVd8OpUZi7+ua6M9ANgCkp+HsH6Nxk+PmU1HE0Zkc1vPFh3EXMeXPp+mPxx/GVz82qnn
+I7D/AYsCzOaT4ONOXLr2Myi7uAXBg34kh8omvHx9xdx+RGfD+LY3JiLrw1Lhv3rXGOyeF2ogDRh
pWjdyjFmFxFJJ7zObVMf9AxqYeiDaVsB1Nv9/tD/dP8AtPKw2jK8sZYp2F9HKoHnThacpHZpksxo
0Dxs5enSCJaGudAcI3ZgcwzG6PeH/adH33FN9uZcWVg5jL7+elinC0QlEw4rmzQ/EY30CHxAHyLB
XRtI7t/fH+6fHkiMwnhrYO74eI1/PVzUNqaFHojDdcp7gJG1p/ifoDJJ8w+rzN9MNcsNC5XWdqnA
WWjMzydU639fS6H78Uf3cW/OYf8TKgJh0CSQ4pdA7yJ8bb7EUKEOivSb/8NNS0CukMJ18KD+7aGR
jtJ4AUinlpF755Hbeakjltj//qRyCZfxlcng87O71sWT0rsFS8/HKjBA+0RdPE9wTdL6D9fvn55C
F+EAoCW68pgUf71+2dSXw5yPLKhEfm3Qzn0XfvU/7J3JcuTImW5fpa33kMHhGBe9iRHBeWYyNzBW
MgvzPDiAp78HVN2rzGA0eUtrLVQmlSoLAcDh/k/f+b5/fjtfXeNoU4PVZdgc1I3PEDX2vs3edPOv
FG/Lyz/+0Fl/gpfD8nA+LA4vcVVjdI1fEbtehr1unBllQaNsUPG3SGOHYURJX+AKwwbSsH5AwPfV
jvbx08PNDU9mZhZ1j9LF0Y5mWhXjg6UH3kcAHOnKzl4Db6ih5yVM/lResfm7z5Xr4fEMSdxCi338
7dWkVe6E6MfPC6Drpj3d4nzpfBFKfPzAJT10HCYp7S7I6qMP3AtFh2dGVvtgMfp1W2Hhg6bgwkno
ZXx+OyeuxE1Abjdtga7JOVomXhvH8zS5pc/WxtSS1p6DNXyomuTp8+uceE3CMQ0dwdwSHb278v3S
68bpJ5Ve45T+HOvbJnvV3AyKfrEMXJ19fiXj4xkrf7vU0RlLjcpelBtIhQaPwn1hgrNUTvdueYsk
ayjmxwmKzR7T7qDZ1ECcNnrDTIpNyrrtZmiMCd3fvdFSRsuxfMD11GTgy3KT6qyTuGuHKpovg4w8
EDsqybAo3SLyqm6bGV3SnTlDNl6psqeCPaHbXVNmS1bKjucvbnTxUTz6/DjB6evpfAAC7crR3gyU
R5Ne0fNM26h79mC0XonBvcNjIH7N5x6ASIb5AQNVLw1a952DHTM9a5z/0AXFFp1ZUVcpw8SPOTZN
684GjVjmd5VyL+eAwlJepvW2ZUh8VcfwvYImgQQcQmUBtwquSUu0fj2apenT21abrkOjx3WSDSU8
5yI1mWVIsCnCtbSMNl6o1rMTjhv8kLHJckNDI2+cW/0PZxns+nwFnFhrBnp+Jjg4swj5lyDhl7UW
5ENN9DHxXBJwVYPw5IG3PvohhhTY2AVS+Z9f8GPAg0+YY5oWCh4IHscBD5qEYcDkCWtBtzNR8Jb5
tg6b7gLjnm4fuJh3RZReH0xUi+efX/nE50s0p9u4rDDq8SHnaKBbalFvF6gHp+nbALfme02/5wGh
evLz80uduEkGPNiNqHXwn+PQkb4o+ebUF34+NHRFEHRgrbjAoZCaNAe7TUGRtzTYp5UyKNp/fvET
90lcBf9PZ+aNCPpoqeOmBBuhLAq/xZ9rX6viIVy03m4yNX87DDCXTUog4CW9+mBlQQ2oDRGOZj6S
o+dpKtTGcEcIY5mUf3uZEm4wMMVgFNnHB714tZi5hUOfMVfQg1q3KbzK5Fopy95ReHr7uw/Q1CU3
ZggTAoN1fGyFcVYVZlZzW1YufeS8RUkPkZ5Omy1U0c8v9vED5GKENoQGFg3t4+OrZjYksvucO9PM
h0hqz8jT3pJRPjAQ+EUMsnzLv4cgXIq01ObWOF7e1di/fOvw82LcphjEQJa4ldRKvdLCBDwbZmxw
UPNkxlfR6Okrwv9hjG356I6PF7Ny4GBzxVoMZ6lXvZaTeJCL6R5eLhm28sbF50/z49o3dQJvNOVE
HVxxedq/3KIFbQX1rZP6Wt+fYYngm2YKjFD/4jIfA8blMqSGcgFMGMcFhcHVxxhEcurDg1wE4YV5
qEZOxM9v5uMuwlUE0FB2ZghsxyJ9FDIjxD+R+o2kokWlh5nS/k+nsG+TuqOh7mItP5Vf7JLGx5OS
q7JxMN+Ob9gH3gH8NxQAEcUEz0LHrjKPMlxRpYyZe3Tp54Imdjt5yAwQzGFlgM1QRdtLd/bdWIeH
jD7yDiziwzxZ9R2DuNAFqorgYAkL8KmyzhmLsx89A8gDikDri19/8sUsfFWagWiGjl8MIwlRRmcD
FDOGENtk8pIzbaTO+fmLObnKmKukpOQZTA0ehZy5WXOMhGXmF50DR78cfD0VD67TfRW1nPhgcXMm
tmUfgh17tJNbTiaLqi7YiMZKMsgSRIfR1sfd53dzageCPEwZziUp59n9/s3MYIvGsNdShodQtAwO
xxQCQGbq2+wP5vX/fhRNzsiYKEfGwkg6zlDRvtsDA1cpuWPwtjy7JrZv8yZ4/vyuTn08+FPZDiO5
JAbH2I6xBY46l3w8WWy5N+kkaLEF1hvNlnLXhJb7Q2UQdqgWtl8cVaf2PAZJTeJqKmUfkh5Kp3ok
zSH1w9C47goNBUW4q5KnKpnv2a6/uNqpBU/ag6kOHGBEpUc7LDAERkiRLvtViJlmblvOrTJQZX7+
MD/wWuAf6TxEx+A4kow5H+2rXm+MvUXJ3Xd7pT9hVl3uoK4yj5bIIaM356jHRLjlui+74bqeivTK
wvBmHwE8386I2GgswyEUNRpz9BnMY/R98lV2K04+edzVly8Tltlx4NPgUWipPOe0GU3aBF39KrrF
YVG6LaR29xkKbIUdd0QTo5DxU6qG9hB45feIiY7ZXtSXKjcPVJG8lT1peIVF3MfnD/LEt0ZPmxDU
wb9oiQ9//9Yyh98Qj4Tbqpjfqll0Ox08fhlkzK9Mr59f68TjEO8zxtZSqCXq/v1aBvQJ3UQN7c+B
eNMpOGxyS39tJziNjlcspEi7+yLCOPHRCUHHjoiGE+tDiD00GX4PYcntJdY3vHmgcTC1Qx+jmVcS
deZj3ah6wzTG4P/9e4Wb5S0VKQLE453ShHgaN25b+uRqV2j8GqrS2S3VeCDWafiEjVL49+O2BdRF
GcDAJYut7Ojp2nQbW7MufU0P6/UkBqYSCtndKqAHfm6TSH9+hyfOHK5HDCU52AgWj75A7GXMKMZQ
2R+HkM6F2aiNXpf1RjIR++9cykP97uK8RZ3/6ECoHDPucgxQfOGVxY2V1ag1nc4+j3shvti+Tq1R
yQe16BCWSv/RGh0YiStmKgN+m/cPUD1+Whaue5hnYdhQ37qI2v92csQGhujCAERG++T4AxQjvTaj
nQt/xih6pTvqrsH0taIO8MWFTmzMlNR1C74RYYjhLe/zl0i0mlHr6QEpIC7pz+E47t25fvhiSUj+
HUcB/W/XOFoTmB+miYnvu89Av1jhKYDdu9Vad0ZvA5HJFKb3uESsLNVU0MaS8LFUjcOwEL3a3sXJ
WYmeacgiptNrgmPFpUEAbEANHcuuOQMlHN0a+ITgAoFCK6j0Yp+3DGeR3U5rxmCDQ2S5NCn0EbGi
WGhGUJ/F3ezlDFsVAp5GmbfYAA114L0Dx64TTKR3DJ8uZKu4uY6w+NqLpp0OGYLRq0FG+eWAz7Dv
pt5DXKbtmiec7nJqRRgrMCjoM5yYr0o1V3gzRRbDwqm6wNc2hnKE7fDnj/fU2uQUdwTrRC6U0t/f
IOgTqLk2a5Mx4dd67F7xyL42pbaTeYmoVpX/xmdHzE2wR/mehtDR9axoKmqJ3bjf1dFSc7pSRnpQ
XfFF8Pqx5LcQT2lsEZtQpvOOLgNwJJLN6MEV19PbqoobZgbdH3X6SBP6koGUdW8Z38Om+CJlOnYl
MAkhuC5VWp4oyfVxQOZVYLAqZVETKaf5WwRcfIWvi3aL0AX3LmZmyHFqK4dHkA71JisYEgRqwUZe
4yptMeVvJUo7SL3Hhakzi3XAYCgLrtrT76SD7SV/4CdDoj4yCgiSJtzgGGtTe3HmTSiCe6zM2rU7
W5DFu8TEMWRGnpfwe0A/VD/RfIgbbArmPdyzeoeii7+fz9Y6artk68AueKql9dWrOLWn2wBoodxS
ZpBieVW/7BGx3lp5kYJ4ByA20V1aTUrfp6IbvlhZp/aiX65zHBgN1QC9H+yV71qZvi6oN6zzKNp+
/rmcCm1saH30Fei3QSX9/Wb02qjKGmyTT9MJY6FFsqgbz2UaMVPfTl+Izk5ejHolOYuHuu047LUb
NqMi41vRIjsnE5330H52TIAyS93FXzy+UxuBTdmf0wLJ3ofgN5smaSdMUflN0twCRLPXkFKey6z5
2cXMLET2F09SnFoXS8+bBJYRAue4TzO3VcbzJU5LxgyayGwILGcadTCoxW9KqUW+WdUovitP3sV6
EPlTiKghLGOI5qGb7rzSnB4dJEHIM4IQZNXnb/rkz2NDpIxE/dY73hjVGLQark+5r+rqp/TCp8gY
7jPJHMm/cR3HJVMk/V0kc7+vqBZH36hiHs8nE62o5nSvxaSpTdk3Xxykp8LWBW1LiWX5i3P0HUrl
oeBg9tLv0IxELSOuqrhtSussccV1VtYPeeZ9Uag4tYB/ueRxwJrMJo6jlp77mhr3YV/+9MyM4Xb7
rCm/8tuVp9bvAuKmFg1um1rS78+xU65ZzaOTs80Y0/cuqv6ECYiRRIZbPOXbcL3wAdY5O/I2rhet
gSaWycyGoT/QRs8mRZXnoF7swwwUC6ja0BlFXXOPWQn43yLL1nnQurvRUe6Ta7FrArRqGZjS2nEz
p0tpszT+1JWBnAUewljp3xMc0BnFqbYdIV/sDgoTNRlv+3wy7iuGrjnsDeuL1XTqKXiLUpcSB+v2
uAGbYbGOxUhF5FfhzNrNArdX8xnx+Dk1U7xkJvXFBU+94kWZxaCMQ7H1+LFXiQinmmDIj2uYA0PV
N9XunU4gQ+A6WKwzk/75B/M+O3EUEDIxY3CDfC6kmUdvOtSmjC5plvt2PnvrSPX2vRmJYV3IyTqP
yix7gocGh8BkcvJdLuBGoBjyfgZOxUjfXlOg9b54DCeeO8HGIoEGDk86cZQoefbkwkGRmQ860txG
zWRfFhFh45SU7XMCPNpnLvKPLx7EiSImUwlUfZZd2/mQ+4ajNVfBwBfdzgGjrDI0dwykyl0bNO0e
5rJcsVKYnLTAIIZNtJ7oyaC8ML9CEcsTe+WiC2ccA2Y2jTbj928Pm8HQzrs4R7ecgFF51zXEEvQF
s9WFdc6TcQ5dwjQyEisoZRlFZKHl9FHhiQw3Sip9N00BuIl3vnw3698Ii4t9pFhSKKYwgRk9a89I
/s+JYWy27GFr2km0ZVbY3DRa0fmRXTuYT/bOxg3PjTKV96ksxms+W0Ro2MPNz5Hbe2eZ7rzoQMG+
SMxP3T8dMDToztKhPy4cUW5LsraT3H+WjvdgSplFtcf4ORZatPv8pZ+6FIPXzBqgRufYOApAaDrB
I1+OJSCk0aaq3UXNN1bpmRdl4fPn13p/b8df2lL9lWSvHIPH6X+h2Vmv8pjkYADGs+poGCP2mk2x
D6pygLGaiXNR6sFNN2KnbhhaeGt0GtwSjCH3VQHO5f0H/Qff8AW+gXKPR1r8/1ACH/AN12n2GpU5
tbOf774Xh7f/+e+//tD/9XIz/8H4u6CzSATOTvULwQF5wT8oUdukLcbSDlyC2r8QDtJZ/p9lCoRK
I0vxL4sK3CuIgFmAbMHUSy3H/Vv4ButoIxNUYdg36WXxC4i4jnfPZkjdYrRFfWZ22riRZrYDpdSR
gnbuLUaYUQlcLtSKVYchlrVltr/XHqPOSt44CIyyXY0a4ET4iDnaTgT0mFw99FOdnQNUi5ObDt7q
96GJnRf0ssVZJMLsvFOJAQIsZdxDh5R+ZoxBurNTb9h0Q1JcJFWtlS8FcKHLYYLRvM8nsQcbi1xr
joxqlw+q8V6GmKqr7+qL5qSrJ/vboMbevZkMy4FhEkcXiVF25lbaA9MUXli58evQadG3Hrhl7mMF
zAxG1YJgvujwZOwwk85y3Vz3OhrqkREVhL/qik4PO+/OrbO5ugIDxO1GY9swwFhM+JYSzdlkulg6
1QvLvFgmIHCfNgJ2kE2KKXNw5eJB2S+sO54n9kVT3qt6HdAWU5t+GBwBDxNf3R9KUZKatymujkpf
pUVrzVT7kjJI13nfzKjS7L7Aw7gAUIdRVOeZAc1NCj6cJ1YCzGid2iiTwJGGlUHrY+UmfTknb3Mw
TYvvUJcDUt4MBPDmimxgCBEWjEFzBRJYO+iqaG50hGGrGWXQSg0mdrZtVBwYGhv2BFHGfarZfbwC
FjHDjizUrciUtUOmPr06VZJuFea/FG2mCNVfW+8GN08vGg3gGg7Q+aEsu36Pm23dIe2Bh4ndaX9w
h3Ht9BG1lxz1o7Sj8Joic4FgKBs3FDfTDTMrcpXYYckR6wW3Ta7y56DQOsZmArTFszZU10hYH9My
D29lWLc3Khqc2wwn5pcod0e8REVw1lTReMt6KHc4QcdPGbRrcGrl9JxGoMHXYOQABzlGsFEidq48
SFtPUTVKf4xs7Vobg7EDjKPh8O408iKwg2zPqE08b4SD6PGJM8DCFDazH2tbFPftNKbgBIOIkpaV
1HIEaNw445p6xHwoGsO2Yf+0OBRRdjyocW72CqfvJ1QG8tybAQitRGWpBziqiKVdIHsoCtIm+1Mo
k2a2dObF6IvBi21q4Go9CcO6aeLZOTTKekhqZ9MmvSlXphydCzEt9sBwsbKFRd0P1z3donMxAm0m
fu1XXTLxrnuMDG6jzC6emnYs9kPgVH8oI3oWSNzXXea6Z7xpuMWVNCFHVMwiTdl4i+4lOivMsXkI
hZy/9bgi5jtPjcaPpGz0c20umLGqa0mLBEjZjpHNnwtnyBeWXm8jiAG8QSeBaub233BQy56ndI6f
pepia23Vbvpca4WHoyRfmK111PeooG09yuG7GFqhKvGow9Mm2yeNnK4LopwzNbYeMMIpTSBbAe28
FsiFUJGjzgMhocc3RZCMZ6NWjc26hGDFKg45uy13zFZxp6HQxLh8W6q+WqsA2RHPpVs5wO/Woaav
8dBSZyWc/g1RrvFkOpq87rTmMZ6b+6TSnDc0uhhVYf0KIcNSAKvXRjUnD06TmOc5OgtQjmaFb3sL
XykOD57ZOshOm5pPo2/vYVpAo2v08ofd61iDQ8i+kYE3/1GrssH/WMuYW85VdR5C63gMI9Na2/Uy
SqHyeoLTDDCdlkX/0lnapkBViSEdMNA5FQJnrbE5g2UevrbMZvzEEpoBxqG+MPpAbS1bjSBdevnN
AIDvS2pQLu6SarqgG8ysXmpT3+06g0ZVakaMs9WjtkOhvAyLgbi9TZMWk98KhuU260dxNbRxsUzR
x4DDcLFNRt+IuvGuVGbrggRW8n7oAvePVOWQzvu4NwCJZQpPT0iTdyYukBflUFivPSroc88OGnsF
V5V9rtfleBOKIqhAhUXtylAQh+mci4dJaO0VgOYeulWPwzRzeVAL2zg6lDkWSyum990LTRjlVRtT
LPaUVa47faQW6RZ3QtnTIdQCinZRC6olCdqDxYzqvgO2cqF1Rrz23Mr9YYL0+rPUzDcY0gYAtqHt
1lON6A/O6rZuEo2PXEsvMZJ0Lz2Zphf0Lu1klcw/It2oV7WOts0cx8dSb+7HetbXriAfKAKQXzgP
R7uYJhDk8tm7rSHBbzWYouj3WtX6oRZdZShOd2YfB5umaMQzlh/mPgkt8Ji18yNhWOKuhvq6juqs
fAgdwQ4SNRgBJ6BqUARa2aVVCsCmbTFcloUeLtUA4kg7t7s9HfvylpWbbwqQ9TcxHo9v9dhqOjgx
kRH2mO4TOY15xi+cGIyuqOKTzeJ6n1r5TR5o1i4zkIOKojPWeovAcWr1+EJrQof8vCj3XT8CNejH
7sVoUAJlbslQq5N+71rxR7JMO4LMmS8GlYc4MMKBQeBag61oS6jxOeSeSY7tnwLgx7ZHwHqf0PXf
DqZCnbzUoEyXXF82GvShQbRXtu5AgfEk1m8tlX/UzRI51IwufGWSkq61JtIOqj9vYjNaW4WC029m
3+tR9TvK09jWuggDpxkrUba975Gb/WzSuD1IjeNed5gyqS3+W2A54BwYVANo0ukHaJvmZoiFsTO6
WOBsqSU/mMPGWDN7l04jXEPqnd0mXYYVQZvEu6pjEronINn2uJH4EGzRw49EXpT7rX1qRMN5nJdk
79mIPWknNG2jk0NRiisHRqra4kdnKSDKFHPiPsRwHAmfrwZZr2PrcjZV5RdmDoi/8oxdKawftV7d
9j3TxDRhkjWEiT1btLaapPZNxOa0QqsYM+E2E2FkOvxnvbxyqgY8FVlsW+9nlSNAy1N6gVFx52od
rMUSM17qHO6qpg0GsAmurYlgu52zcAfE+lJiaXsHeUftM7v3fHNKws0s81sI1uhK42jXgUJczaVW
rO1suvWGXmzSOM32bVeVdFzwbzTDEvf2CCRTMciZTdiR1xqJzoq93XmAgRwzThoA/7XET6T7QCmm
hIwWkMzKiCuLgyyNOA9kz6yC8H7E+VRTY2f5la3m2+NQ3NoaxFyvm/H8tnqx1r2qP4x54/lJEWoA
Tmf3LO+mW2Y7vpuB8/ifXOr/x/OPiokg//jfc6mrEtn1f61fG+C/xe8Z1T//6F8ZlWOBtyP7QX9C
2kJvg9LYX0w81/wHo1n0lXVhMibPAN2/Mir7HwzL0rzHm0YyPWvzp/6VVfGP0vimtWDBxbPk38mq
qL5Rdfk1e0ftRObOiBtFUXI8Z2ms/tJ4cdKxzsk0EkTqNPXQczOQtEEYWzPBysTuCKq9QgWMYCuy
D4GBFOxQGIXnru0Z0uia4bVk3Ml5zNNtaSH+9zXYaTStYU3k0LIj2b7ljB1dAPNkMrDsxBWTluah
Mxfa6mQk9UtW2fLA1sQBqpKMEzfNkHlTtXMvPFigL0XrVi8VmPpmi9lojDK84LBElG++Fs0grnIv
5wMti5CgtS8Nt9obmRM1zKBryx+RQZ6v0yRGP1p33lNP/musVLWwULvWHe8okHlPeSzGOyTa8kBI
wnknUZEjHDVwHTorOebdM+zJ2jegx+IhK/I05PQqtLUowixeV0iybwg3Zb9Oe4/bqDyTmMAwwsbX
yWQfdNqBr45Bb7gstd6XQyQfZ+UCLpJl47dSJ12z81ZchcbirVI5YfCU2FSl1nUdV+3K8Qhg9hWD
729JQ2t7hdG18QAhvnqRQU0QM8qGfwwRW3meI7Z9nUL+HAoDfoAlFL9WZVxNl6HxAHoAT5GePGZe
2d7IXZsp13RTWb1kic690wGYUcUrXV7ZZpyfF5ETXclUSy5c/AlWjYrHywQaxkGitD4UMdnjCp0c
zxOpdYJqYsw1e8O65u/884VmekgOjV2p92SASMyAzwH15ZW27TfcsafxQlXBJDZjaiT5Rm+zNL7V
cvbHVTktXjz4YvBXt0W6sLbI4OhxJxq/MQI7F9BONzULpZ4TMuLd5dbgVxji6c8NrCW5y/JZK1eD
mv+Mgp4noQ+F94SK6g4XEWs30QHE+wRzr6eZU+/WGXCM5kSrtXUlcuOhYEbiZYzUsmpzFno6QlXb
kbHwb5oDg786sKlifgmLqFvCv8hW/G+nG1gNRrMk4sCYHLnFclEyUCV68zJznI5wNGxZfJoBtzoY
DD49R1XdG5N0WLvqHZAfkHV8hI438oLLitLbysUD2V6ROuAAUyReGq9TLMfzLe0T1pvgs7woK6Ya
GYII5EFLBgJXvOv43fHcx0gz8O4GqRgS/BYqZ8UEom/fRjT84baYNd7dsKyTyRurl355RXQQ5QHo
fPXiipZ/WUcdZI/sz9s6ZhGjYx+8bQV/+GXxjnt6X8Kx5vB8ofCck02Lq2RZpAFUmDslex7JOxlt
ZAjkJp+N8tyMkiLdLbOYTwxO8+C6spJyXeFy3Wx6Ry/Ps2JhR71/Ej2w170dTzy8Kep52RSlMOuL
65fZaRq/tipgRXZviwcTrvyTluiDhqdFAmE8qUPcChoS4JVdQv+cDRewTGThea3inNvRY/MQt+hd
CIMn/inGNVlgmuQjx8WR58PQkXgYCJ72kz6zgzBVLg9OVHoXCmnKxVxjkLWidcK/oaxEAlAFTbe7
7p02kjdJPYQOnGzS7m1Hr2hxGHN80OAwlbLEA+8+ahupIq2BapZyv5LZMbWb26mPth4fRQC7AODe
Cs+c8S43ShXdASarLkOgU9t4gpIjJ77lpa9wcItU87a5yPj3mDZjfGm6AJc7tgxdD8QDWKCeJ5ib
413FQo9XBo4HL6ke1D7pfLgHZW08OJI1b6eZCnZuxMzafeuhkvVHcqGDnLlhMCysKLABvKgMN9OH
QJ/n6iwsHWvcyiLPorM8SOJ9os/xvjcNmAyUwxpmUAMQJ8Cwmi2tY9ZUwLwl5HsI4PW6aTPrVacH
Ga/HgrSp7hmST6xJTZu0ySkr5XrJehHw/7ZlwSpVdOXsVW7X4iouPfGQ54Lfk+RVGEBNXFaOI2AP
nZkJtTf8sIL2LUyRgsSRxepeMjO5rL0mtkRybtKX8nskHtgaLGveNEz+kN4t+Z9RL+u/p+d/1ceD
98TwCqp5NFZcYlCi7mDPWOm40+OW/a1pUYdlkVzWozeRVFJ+8Z40yg/BX1sa+IM431SOYilRNW/6
Q+K2tbaq39OGSmjixrT5upBiYZLRKx4vjDxKQ/y9fHDNJ1V0I2gtYv1o976zlmXEkIeK3PpJxLIo
nkAGTekzWT77RGYuu5RAYLk3qYm+Qknwtklf57cC5cHaDYu3Ihq9Q4PKnMVf68vhHITswJA+xZWa
LTayjPihh5OKUmg1RlEhomtjiiaf7Ufm5LRhTwixlH1KsbbL2TvHABYsuuEEI7XPNvay2znJfiZ6
nDkM8HcaNjR5imgfyhivCGQg9ZYlPy/5JptNxBZTrjRl4DIuMad7K4v8qQxFc+YFTBZjLeCqkTiE
Oi7y3wM4aJ4uEHXyDYYAzjlj3BsBzzzg2x3kDi5FDEFRdFfIGcrztqf+MLhh9Bg7NdqPqQi+152x
1Yyyvmh1z1o3MCV0J+EbWPW5yDWFMH06tBFuD07iNXlwo0eLrYcH5QezdEb7652GS9BNZQ4rtIB3
gWFa+vNkZ5XGOVHmdnAgkc3ZVRO+cHqWJBt6b2wqvco39DIpTi/KbGhCtZmsq9LIfYEVKcw8syIt
NFMJld0AHOPAZ9f7UZ1ZCQ5f2ImoCU+Tooqm3WTT98TCQ1uGmdqeMpyBW/N5J8352h0756xNPI65
GBulmCoTGFYlHk2mhS41vJuv4zl1zygysnqx51vZkVtuQxSMEXkaSU2SOuSl40BVA12uXLVA514z
s0weJyd/NBOnzkDft+ZtnaI50LpWuWtzbrydO8jhz3ZqYHm6QEBbhafVzCLb1hZ2D24zNbtJSzxf
H4DeTmOXb0HxApI1QSmuetkml24TJVDS9d5+Szq32KErx+8lQxYaxuqRmadql8ZOg6RdfR8Cqppx
4vwR4uJ6F1lTsRFZbezkIqk0Oqu5bXUeq+0V9tYa8/FH0hsPQAGDlVBte+nG0Xybo9qATtjnu3LS
zH3gDc5F5cUYetTtQ+31WrJqbCKjbZvXJZZkAVsU7nZrS0XVNiRuOMOlUZBK48RhARk5pF5vXpSS
sgoPrdgOaW3djzYMqLGu3a3mwZBN2LFWrJD0xqwxyyLq1CiOXXMITIR8Q7FDMmofMoqJt2GJRw+F
dt/QmCt0lxNCTtWwGakx+RSHIopLk/bSBmO9wQfSu5wT6xZomrHpikK/w+mEIhZzJI8G8NcLGqZg
DjSXifCVInb9o8Npl7gEsu1ZN4IoS+Ku/JYQvhPe9TkFqyQ30gejCVzfUVK70u1aX3PyOpvUNXdY
TUy7hHrNQemO86ql+bdRq9NsJZwsXw9N0+40h2WzmhyaCBQN+j2gLYodblqv2fzJwq2MgyiMugOF
trcqol1udEKtRaVny24lDhM11deg0ak9BGU7fiMi3hJdN0SCsV5splRPt9TH7IegZkdh529Qr5Yi
Xmmx4fh6O8p9Dmx+02JkxEvLhLqIesC2q0r2CWXn1nYbnh09l7tBpRm8Kip2E7F4jdXTHewP1H0i
yc3Md+Z2CN/Y/MNdlBj1BpxhtQm0gSZHCNugWUEuC/boZPE5oqpgM9LZqyctbSliTnZg2FTXRLRp
qo4MJCL9t5vyEh1BvGH2VD1VTDEcZnuilslc6Q6ywrztI3hJXuLEO9vI9EcVji5LnGFMUzuLrSXw
YyMFs/ODaePwIqzzKzpl7bMWef153rgQP4t2zeEV3OcY2X3zVGs3kHm9oDtL63qKn2G39PohT22v
O9NqMRu9z67l7RAc9LXaJkIjcgpJ3ILroPPoFFWYpwMXi0v3JagzNvUggZg0sX1Puoc/nGhmuXcS
SjKUnDOT0l1I/Q4LSCqEPVaIUc6pa/QJoGGXjhayYxVY+XmtN/z9tCTk2ugWnT5Wj+E1W6snBo2g
x4ZEsi2BiD2YnE1xXWXTmS7m8W4ylECO5jGRUyvCcqBv1RfjHMezUqTOCOBdupvIeEmjj8Y5enzg
4qqLEx8UcdZs8rKU4/Nszn37zaSPUu9McFrNpiysDCKYSjl8fyk53PwzS/8viEI3jKt17f/894fW
O7+AIXi6LCbD8PyKoz6/imwYZUYX+hbEsnAVFG0Yb3q6SaCrtDYKCTaDah/LOArxToKDta1wY7wK
iw6Nlt6LK7NMiSo//1UnHgvz8tLSCdtPzKpRywrKKDFhG2qEfni3jeEWcTMx6UByjLOZQeTTY7MR
bbQhrF4+v/oHfQ4PYxnXX/5DCM5Q+O8FjQLbbjgZM89kykiFElFPFSdO7eYJLySaLI0oWrnyIXUC
7SCW8BuJq5mcD2ZdGdemDQJyBhzVYbDULRl0VYdFgueQRQ5TSDbaL37wMvfyewUGkwNhLSoYEBHi
eLZv8MIYgraLhA6X22YFPAT0emTj87pqLA9YGZxdUI5jW7/mZjrd1R21ijoil8czo7nLi/qLef0P
s1PMrBIDmViOmA5zMseTOhoOr3NP3MCU5+KXYmv2eNdRknpqKfG0wJKX9FcZRvtmMll9qAbyi4IW
UMYEO0fyum2rJQfjyX7+qOTxlP/yw2wTFZvtoqxBCvj7u3UGvQL+U0d+ZYdEqCH+0Fm/8hSz/KD8
Y9kW91WUuSaWT4Stm1GWbXo2mMZw15sDyOVoUN6Trk9ky+Z7XCw60lgtJoliNpTwPQ5bYu4AF9hV
s9R6Ck/ny8bLmGpJ6jRjf0nvoXv7Z1Ia52q86+elClBM1XhHb4pe3ZBAhV3iOMw0oMcCmXMBL8NN
IAP6/HEYx/NkPA504CA4qBuYC0Ds98cRCa2Op8HR9jKy2ANptRbRmdsvqU4x8uvZ+L2LyXAH7b4w
ZoonNCv4WVPcz/ejZ/O0QinITqwZfD8NAv4rD4u/jk42hdv38pA0quVlQ9MaL3rVh7FfhlTAYKNX
Q7gNh7oBzZRzdctIKd7Y6TSwQkgI3t5v9j9TPV9N9SBM473/75Xoy1e+qdeCx/nLVM8//9C/atA6
Q5CLgJliM5Kff9Wg/w97Z7YdNbKl4ScSS1No6NWrL3LO9IQNGNs3WsZgzVJojtDT96esOueAqYau
c31uiqIKo5RSEbH3v//BD9/BKRZAyaSsoN4FHf4HqSd8B14NXy10F0I+W+m/IGj/HQxhRBNA2q4P
x/VvQdDLmv1h+1uEr4vjFzIryP9vuWqVScxGmeTzwY8tMa+i0a0ucWnQn0pLwaSJxe/CTZZD8c0F
fRLW4aHyyX/WiRLmmvQGBdVBKUjspjHi2O399mxeiNJvroLN5uJIx46FwOrNMdSjvwcRSNQBuCrd
T7ZqbvMarkLqu3JrGhPFcIdwjULfuOsmX/0xuHlR/xV/q9//caHvSwMRvqFLnani0PECWHk2v3kr
bhkGTYaV9vtDXXggBwr3mR24OAEHkH8ulZ20J8XQvdvjbko2sST6domWTeE/d3gnfCCd1wLLigIS
CggOJ8POwmg4mKd8p+2cPwuuArLuFAsSqySW/wAZHU0TRpr6Fb1QfudkAfHMmAwfoAIs7BWvOaHL
bR7ICND7JdMdZC+2NDqmxmmaFTLK+WBSr3/EaUtet+SSfiTARL3vqSlOk9fJ56AsUxP31lG/JvC8
dmNVjPfFUOl9l6nqMoKDsMZvO7DWU21Xl0lkImpNtXy0YpMfnFQaXnaEcG3h2Ud3NHVlvxk7JhxH
HhXbWmyZ/CyYlOvs7XjkNk2/I5EG0+mPINVEXqk6uRH4rSK2CrGOwht6QezT9rYuRgcEFfbHOut9
Ui6B2K9mR6XIi4BHnChtT/lgN7ddSY4ZRjtqD25VHBvMg7aW04/3wO/jfZPN3ge+HXs7oxrZVjYp
3IOnmhddT6wHHw5zOlUaahvQ9AC6JjH2rsyDt4Tm+BNpY04PEOxZRnpomkS/whXRn8yWH9Fm2332
sF29pCZzjzhxWx8HkoM/Z/1UXaoaMLMsoShvwgwEYuWWePLC55ohesEZ33aS8m2qRhqtxs7vpJfg
YUt2PeEmdfviRvw2hsvhwFBAUXggERgLWXdoXlTHcmYkq0Fvh+JYB3y52pfTRg0Z8HfnYNu4Nb2u
OMougEE6k+rtkyi8N6wov4sx5iJBOWmuXWyNCCqPx2+5qc1VhX0+ijjTZNOw6icwjfEeEfN8FTYj
f5WT6L0sYaRaijsOJ0NeR/my2I1G3BixOWLUxr14bhau+jChMcUkuFyNSTV+s/JU73VquzexyzcR
YQm1ciupNyWZnuWGCBmea04moF+AFCkcVUnQVuT6YZgcRXceYOoL3Ln5qpoS/cmGHrsn7hpr8bbJ
d4yX+69mBk6dknK2SRaHZsvg2XYx32MGzE0aK69oURE0qVvufsa9GGR65ptwwa8hRPD+t5jOPBax
H52KLn+cjG44JWlb3sTBK2moYKqpUXrgAFFpH5NOPBEh0jzYWNHexzbv5so28nRv43W+ceEXMDse
v/WuL69lJngpl5w6lfBFeb7R76LGlTeS1PabsJ/EzaDBkau0Y0wgvPoJK2reVp/Qi9aO6ienFPoi
I2XlgwqWVHYjIwwvoEB8jsmLw7zL0QbNbJhvzjcXJCwCBiXGndKy6jcqzeYrtJfdZ4m45k4zRiCo
HqHA2oJlc1JFVq69yUwPINrwEukv0j3ZB+0LUiFYSZAKBp8BQdDAG6AAIweE8YtnO8117xHXYH9G
Umnl3uNYV1P/kraD+5jis5zHByb4lYt52mxUC7Q7Ue01tKGnKXYG946kBTz3XaU/WUR9rGtvSKqV
JRTs0Gb2dryHghxbpLYM71XP1jRU10MN0IXfd3hyjfx9b3bGbW0Wd4YYrt1SlmDrvridSbKkQCSQ
uxUxwd7RNSm2zsZEuXeI7Tk5grV86oRrbYclmX5w9Zc0KIetOw5f88Quj0YVv+jBTY7JjMq7sgZ5
WUM+3RYC7iKyp/6rlXYNQFl3ofom2uEhaJ3UnIcbS0MVKXwRY00Sp9fu7Oorgq5HvW4JB/AyEKgc
hCUtmmpmrBk1R+YeeA8aipBiE8fTMs1RGpZF8RrLuQ9Q1C6B6p2r16Fb3enKT7d2aYQXGZk8Vwhv
J3yoWbAEOVgXqcZ9cqBxPc6IZde2NcJTIVf9UPrEBcjeCSC6QX2UTsCyrJbgIhP7MYil5sUk0vAA
reQDDVm4ow3tLq0qdIqtzbN/6eQ0eTD0QoOh18x3iJygHw8Y9Ps7z5qeKlLBLoeO+OTKNgec2UIL
7WPoUadHHrycqHtx4NhBKY058zjAgx3+8Awcbezasspr7jBdsFZWn3c7vJjg4SbMRwknUk+BGLFt
c3J1UanFMLjI80e8h2t/7SlP78N0JPwXn4pgE4oAzxhwCypEp7mlOiNLehCOz5i8sc2NZhMh4iSX
dreSrKsrt+jkxTRHpNlA0T7Cfes2TpKwqrotaZfNqkJGtVDRxEl6rWLE7GTrdkkkQVp+mIqNMxo1
6dze/CwLUxwx9p8/SlA9Qja68KBmER7LIdLv09yZN2M0NKe8lO4ajAkPZy8fV8UU51umqu6t3yEc
rRnaDqu4Jd/AlMGuMUaU0wwMVpNw9IY2PXvwvZjJramnnRsBUg/haOwasokYTpe3hQVnsUvN6Zim
joIPOo6b2IjDe7KzrH2R8sZ7Tp0sFNxoG06Re1Wj5yPRfjLuyl4FEP1mfdJBi3E9XSPpRY3Xlt/c
uLkGePMvQ9Xb3tqlPYxXBW5QWO8k+ZXsZuso0VDDREq89qKYI+dxyHwN41hMC0IMx/ki0XEerDMr
M79J/MGLjYvbkNqYDBWPc9OEa1ka7X6wCvEIqThNkXel2aXbx91L6WSeeWV1LigEIeBWLB4hXJr4
IOcdxvh1hbeMoZhj+YkYv9SZBdevmJa6QDa3GGkXGw/juXobjGV6YajFjY+8gczn9SuTI66Y7WXY
dLW7bhVywBV0rJTYgQB+YJbW4kbbcCTnpJJfbElg6bqVwIZ8N6RxLiVSljmcQ7ilEELWVZehHQk2
Z0bPQRpNQJYTwpidCToZQ/AM9CvqGDJgtRHdSbTErIGcMsGPTBltYrFkgCZpuW4SKW5mQmXujFpK
bjd1kt0AV4rgAPTd65IiL9m4npJflBzQrCdYqBDlwemM2WFz+qP4alKbcZ+lu6+SWL5gY4uE+7PK
RSOmtLa3lKHeB5U3lGVLwUhczejmmyyxiyNy3OqyIM/l4JrdBBgHsty3GQ15Kcmy3ySi43APy9q4
q8DI71PbiW/ikkqjEp68jufzpwibB8dYxoZR0yyb8lzq155EwFUK/aMgcrax3rMNVl8d6aFtMWIM
zzvKxJMXL8hQCZkCVp/Ue3rz4T5JSZpdWY0RVGuzbPU+Lj19YY4Z9z+M0yZeXN5riq1H3OPKdaeX
8hdP4Ee/VwUhQ9wCci2gulLp10Az/VZzVG+rLA1JoZ6gXmsRwQtgZl5gBR02t981kn/RRFh/1UOc
MQbHB2BkB/oRYABqzes4NnoInnZzihBmLuWwX62brGnJ2VrKe6cJNiNfzBPjnQUGqnjYQy9+19BY
P8GKSF9BO/AtxLWSLM832M9QO3VJeGx/cFMqf+hHg7jxPSZ2cU+ilHYpCBOmQECeJvhLjJli1gni
Q/r6KYaNf0ekSnPqnFFfVJNsHobBdW/IelOfJiru3W8e3E9AFR8W/hY0sgC06idvcDRZuT8aTndA
W2Cuxo5obC1ZaKaVJTfGwFvHUcQLZo288USA4SXKOXXKK1U/Z5K62YcAefXrD3VuOX9sSR04aCDG
fCjf/UkpHhMGYIcgXIeydBqHwaWzON0PzeU8IZ9o2yHZsDXPW+04HDzRQAWFxCXdQ3FhmeLjdJdN
bnPCKJVg0EjUXyWD3NvAgyIa9sQrRkZbQyNe2N2//uQoJH/qpn2MnQAvELU5iyXEjy+iQK0Dsj+1
B9Vwpmk/lTCay1AznFPsTil+i2Hi+K+jrcfDeX4AmfqZweVnErccLCQolwwxxZsBv80rZgju4yiJ
y0lnJ78wzdJ5snFwUxhEy2q8IJkmIBfdyjemy6g1VSzokq3kgFJI3JgWE74WktOdKsDXKCDJlFeO
hsxCNd82uDLWyw5jE0l5N8at98EQvn4tg9jEJr5yXQN9Cnss6Dl1LwjmcRjYwKC6UbPTLNOXxDl/
aHaXN6SNS3bic62uqrm5rXBjZE8hPAPeOwV9SGj6yjVT5K0EtG+RKMnrHP7gJdN9alALyIGktPE+
ng1GnnB3iqfWQU106ovZHy+baIp5SGkacyR1vdqKOE8Y5UknKkhlcbKBICLiOo3O3XBDlX1fR8Qw
do1DAJDvwaQ95pQ0m2he/kNEQR9B4AK9XUcpuOWI21VgX+Bb0JEJ4ijJaUxN35rwfjbQ6bnjuArr
rWITJtlQUcr7ilA7A5bsmnbaxKucRqQL3O6zSaDQmuQYse6EQeZVGUqc+FoatyBx5RedDfmuTSHo
DCPVlZlPvJHEyvebpPKG+z4tnvyW/nFW8JWCqXDSTavTkaaSZxcuASWneebhc+gYf1ABLQ6O29wZ
0z3DSTa9QPTFsRdB/aw06eWutqgN7cKG7AtrZ+f0QfueThSuI1R6CHQ0/V5RdZ+rkl5GKeL0TMVu
1C+9XZUwmUrKfpwYkBcKAkwBv9ua4/LYMqK/zCrfWVE7+bel0w73pjXYW4LS62fRtekeW219IS26
Z8j2MydAX1vdZzsDUGqaQl73fuqzgl12kz6qIJ8HPZ1R5LpQGmoxs0Y6cyCpVln8z96cm5czmyYo
ZyYldIcrkbrzAW5cc2pkAypnI5NfqXA5QpOS7VJoHwCotJsHDA4hY07ALESAhpexJdtTqv3q0ot5
cDgJ6H1l2ozSg2q8x+CA9n7S6T5YECD8B+R1mYMP+SltMlYD82vAKp23aTDLx9wr348KoU8/9LTb
pohvrApWQsnca808jrhxYymcl0+t3BAQK8AWCt0Mav5L7UwFdAuWqlr2dzOHGS4BS57gWhEk3JYZ
IT0mYcMDAj3oCzSvqTJp4BPlNrcmzFJi7TJKkfNZLKuFNAfWoy9yBk+wXKBBHiLH41EtoERd+Ppi
jslxVyPo2vk1JPuCQiKuGvOgBkNfuTGIh9Pp5vaM+FQOrw8O08XaIxtuRVBecSQOLj0UkC7XBe4F
l0PkYbuywANGbPAYMFv0oUSw4M9A3pySjZlLAKEpSV7bYNZXM8utWisdU4xMSyhvEINewd3I7xrp
qhL+ex4uIaoCfzpfvW8GcuMSCDgzFs1mcVRkha5w44DrFM8sQaxSgOCihdsW56ZYy8GotyEk1D3x
lNa0rSClrcnXEOQDEoxJwWMia/GwSkDJDSJILF/zMDsuQJnop+aFABB725m9/lQZLPPIboujsYAr
+FSzrdHRR6czUkNOgQnjk5DWdTWn/E2lDdjTzGxxjsXlz/jN+ZBUy1y1qhP3CAf1G7S9pVz2Db6+
oqRYajpsk/54NVOgS7g5xRGCUnRnWkV1Cclm0Uu4wWXQd81DbYGhwYEDU8OUr7qcMIq9YSTCvhWb
PZu7wcwLul/9pGKKHWbT0P9gBOwg5PEIE9G0LybpwIT15IMFA7kEyvEoz/uMNb28z027bMPYEXcX
RQd7ZR2mPjVv3vLjHKL6InUo+JIF9aYuWU4BGrQnK+CVWAbLX4cmqp8TK4pvfBSnO6td3h8iyaBv
g0MWHrcTLejXubwNQhBSMtzyu3IaQZFcjkkPidrH89lg9UDAAwyoG58tH9wJEHU0hHvjx4bgqJgg
YDchZUijc/vj1OpxHZakl3o1lbBLO8yQMrM+QgLAXAu16pHJbHHUhVldkh5dXQqbIhYydb1NKA8f
O6zM5K6da4pzWG9bAlPGez1RJsscfM6sCzg4JeO4iH3sgcxJ+YgxbnQCv/DWZ0hw7Bd2I8GNp7hK
pk2mKD87dhO5ps3JIcco3pBaUZz0NDslC5u0KAcUtC5YFNoc6yeYigDUE5ixk0a0Cj2Fs0OUCfSr
Tm457Hl5ztusQji7BznSF23txp/p6rWErl4u/QTKzJNq4fq2gDafpE/VbswTkMXYjTxMk+0tGVlH
eehwanmjpMdzeNcMM7pTE3iZXagyPVauaE6TLAARl60SG2Z72+ZOfoPYiEhvLxWgXqT2Ok3I+ZAA
mbAmW9BprFb11VlW5jT+8M2vIrXv+eirigLPWachTYgsavmFEEhKjga9yzGDsr9KZQplj9j4cRQ8
tRl54NEOGIoCffIM+sKkGxqn5oGqJHNXg4K0vyIDLKRuGUR6PRE1a62mhnKiriMqSD3qzTjwhesA
V9zcBlI///a8MHWZccQY1tC+QIoy7iSHyrGae/UeypHelQnsUAa4LOiUqjL2BZsMDgLxjSvRj6KJ
TOcr6c10ZJOviX7PXwd3rr1t0tHAnoFivyMTzaYznZYqQKuGlkza87AHSOCOp6NfZCRGBe7j3MbJ
BoYpbwSAynYQi4Q1r4fg1Ef9n+5l/xlV/nZUKVwaoV+NKrvu+SUZum993/04rzz/5J/zSi98F9oB
AhxfgHah+2eC96dmxnfeCdNzhMDBh1GhcGgU/hxYuvZ5KkmwiC8Yf2KH9c+BpWu9s53FHYsm1mMX
YgD6P//9wyite/P7H0Zrb3oRhDm4vGOranEu8OneNMWhoz1AUUMeUPa+JpT6e7L0kEgGUFK/ezp/
0X+/1eYsV4IT4jomdiF4Hry5UlGRQrGUqwfUhyhiTPkkq1qtpigZ1n//SlwDu1hMPIkHWj7Jdyqg
uDcgqslcksOTD+toMG+6scwgos73f/tCAAlk5QguZ3KtHy80+gWtSzvLg2Y950X+Ci/5NePXf+cy
Al4Ezn4/Dz8h2xFuIZSkJ4XoHAYMFztOk3Wu0n/j0fGuQr7A9p8R+ltOSizN0iXOVR5GwlsvlTlQ
fqBCumwhDf36pryfXzw4TUsSV+igG3trK+ePJTO0EOFkMk05czl9p2N1TxLw/ZmB8+uLvYVbePcC
PGow/AhsAIxFt/b9G2FYomZt1vIA1AjIx1FyyIIG+rqRPpsBaFVKVPnK0tHftyXlwueEo7Nv09vl
BfmRbhj0Et5VWn8YoG2vBB4cyDn4t1/f41smwPkegUTYFTDBYlX/eI/zkA06BVXCIh8aS8mcdJvZ
kCJ/fZW/WMVn8d8/rrJgG9+trYVhMRoM9Q5GqAidb9X9WE7VqWr/vUf33f282S8mZE8I07lSUgx6
46nsGe3qwuz57fL6STbIpw7YZHkz/NAlLOXN61FHpQjKWpaY/tg1DPbRyFdacrbPbqm3IWP3jRW2
1q6BeXIwW1VvssIJqWXc6gQvAo/Zif5jG2C3vm4ZxL2cYeSzbgnDMgsKcf6qEUIe49kar6TfRXAT
ZrQedgjGVEv+iE6ickubbzMeJ2TXR8h4q9vQ/pz7Nl4wURY9jSUFylQqcYh8+NW1rsL9lPE+577y
YgDXgQE3oBsIZkNt2few1oe8qLZ4UVUfyKd2T4ToTi9NxC5vYRFzGkn6vcVSpb6Ygm7M1okfJPVW
u4X5JSMdHP9vPo+BS9JzGXHT+djLXY2IGi3hjGQY4xXc5pwoylbWUISEEzp9uMdCQO4ak2lY1oCo
41NjrEuTu5tLNq6SdMs15AQbAgWbSxKnsAE9joAKqAQPHFjZ6zG0nJMLMRuribm+sMweO7qScidA
HLn2C9P+HCejuFCxlT3FQV3cexPT36ZD9dd4pf054t4XCRrYiCzdYeYzjcigEl+G/dpxNGtdeS79
rEEvdw+vX1xQdCOVNtL+KeLREBvdyBtvyF5NhCDrgfjUz3hfvKpuij703lzDBV8+Pd40FxpfE7Aa
ys2YtR0WyfsshWJITJV7ZEfv11BD0v0YFw5MMi+lBrWH6pTGsE5XLhS069iR4Q2OK9WrZ4TWtVVj
2OYNBQ6mtjGB1p9f+6KL3dNs4taAchwnkpSHgFVutp7dRMMKlvHHYF5EirGf5k8h2eYrqML1JhIJ
RDbmhfVMsH3rFfuUKaG8ssCVwo2XRONDEknorAws4cpV9SKE8kAMLkmDnD8H5IZ+ZLpTvsKgrE/c
o94Slxyt4EA1BzezwvuaLMCPTlXz/iABE+QxQ4/JMVlPRpKnFaBiq6SDkavNV9BHKhcrZcsYMUyc
G1iIezAxm5Zl55qzAWWPI24mtJ1uRy7xvsUkk3vs9uNxj54+ew7xG9yFFeuIeCs4PWk4ImFHJEHd
HI4PczvnezRhPX7ERmunu0w6Yt7OkHeaVdvFE54HuMV8mUPZfbVR7R2xwECtibNO92n0e/kYZ664
8HXBHgoQJrB2M5wTZLSUIeCUIpPN+SZEEudPDZLak4qIJmd2Za+RIbzSgITwdjznxAexdha50BtD
d/QjCfSF6zhHgzzERUiON98Q5hmLIIRdLUFetxFJGH3IxnbINwl6kW+VDMWhwmIIZn3izZfoLR9k
p8c93PiFWzvwIsxTUJGcm0LpxUq3MQgP76xij//Ct35o/U3SqQ9VY0MvGL+gvEhPZeUBE0U4unAU
+rfJwKJk2Ky2QAjj1di3sEdz1jkO8+j0pJ9/Diw5XxAduytn+vN4VrJfl1Pe5STRL9qfvuClZleE
l15AKqlQHNw4FJWM6Vj1+YAuYRwlko4u09u5ZXcrp37cW8u5K13u2y6zZ5RmwU2Avfxzobrg1hkX
bTVkmY+ZGzknNfBGoXeJnhZJ8tosdL0ZsVbYim5mGZVBExLJMBDOaLRYkcQde07i5sGt5WHl4prF
sxBslG3L/oF0wb+dU0Vv3LZ6E/kNYJhwhuA2qvMW9I9YTmJPeQ2HsG32hVkOmwzl7rq0h3rjTVy6
BZg7pCQSM+a3ppcEA2FZ4fgThx2x5y5EpzYtbhxJ9HoyOQFfQilvumapq2t0ooUleZnoPDF3Ki0X
V2OeDnpisAQPoOW860JSe+zzwPpmTuxW4/KOCHQD13nUp9eZQJ4xahx4/YlKYmUYvbjGnmTXMWhZ
Ezhtr4Wz0NX7Wq3H2as/QScKb2Y/qjbK9Nu1a2BeMvANZ3TE6BhjToOPIzrDdYCFyCmah/K2G9h7
jJjdYwpZ9PlY8szDetg5GWbLcTWm105km19Ca+gvgFqoR+vhJsi74tB55rhHqRruS0zMrvo2vXFS
Z3wwsqy70Srpr6Js/pyazgR9BRpaoFExurMlDnOYzsDJTXlDQCyWUfmj37Ql2pHktY6XNMo+/cR6
vm9HTFVsMoi2SVw2uMs4WHhrOBAci/Gezf2LIeoBuRiH3llHaqRJcU/EfXVqK3YcswwgLJmWXBIi
AF3+2GQ9t8PKk+9gR+81rXJPwb0J8KQeEcQPB7xL3XYP2L2ygWKnVd+FWQXWXbCZZTR5Da9IFpZr
2HlIyafGDHGT8hdPdHjeGz02yGcK6aQlg9CmN6FnTBivyNL+1JV2eZoapzzVfm9K8GXoCk7RDZvB
wju1AAZT5IFc6MlW5czhU7TsfyWykrsGNBubkDzD+cRNxzLBhSZ0RqRyZTQGJ2g1+G9E3oBZwppa
HKNK/MZaH/1algSrYMzLb1JAtLHS2D8qMGzIhjpsF6RGmACOin1dB4sN4rpv+/595flQ+TN3CPE0
CuIMg9GkdZmcDtbI1NfqngLUSjCKVPFhyhycnqTlATRRXEN2kL4eT1WR5ZtUml/cYDjILINAoB3Q
XIF1pI2EfsPGMd4KkRlXFpplyGh+SdCqa+s969R2VnXGtHgogv5gNwTaqCZ6zhORb32c1bdnEljt
N9YDJpzqeuCMZjYQt+amcu3BQJLlzNcs1/glLnwYH7nVGUDQKqS0NIxjqoQZ7Py4ZH9DcMymH1Od
0C25E2oy7AQ2khs+oHqCLxpoMf5dGUwQcnYGlPChYORKVNmPFXY3z7E7dGZxAJliv7Gn8YoATNPH
VZ06oae0vMZGJoHyNlNX5GGLOL21BarIEnaKFf6uUXvLyz9/HhACcm9IM6Of/vHz+LEdswb4PG1p
3Q8mGGLOnjr56XNVDHeR5pj7dYvxU2cYLjbyNleyqMfxtPrxgjBNRBkDJR7GhiKsigaUjBXHcYUr
4oXhYn306+v9bMu9XNAXi6dv6Dg/hYxULQWOizycDaWZUC0TJ7lJsW6SG8jczz3Jqtu8IyPAE8H0
/nzsTPWMPDlBlbWD72dg/YXUu56bca8w4PlNY/ez1yyfj1gLWFgL7/2nplwueqPAHfJDUpbuaRi7
8rV2GtbU1E+dWa5il2K7KAoWUpIhCR49ak0Lp70baVFoQ6N8ppSpToENu0HbdJ4Yj0APLvQgLlwb
EnHVZi2IPnKRflzMNnom4od4iRl0FI3r1kWN/IHwWfcZhTm0mZB/7APD8m/hTnIAR1oRDZGm2dP5
VESUiafKNOOr9JtnYS1d7Pdjf95GjOg9a3HvRC/01jczRijLIIFcpJ7ci5UwunrVK6yuJ8d9aFLf
ID9QQlSDRbMTLWxWIij/bngXWdCYbUN45SvhNX3zehIdMXl4WacH/M/gahpxfSHd6XfbwE+IBVcB
qCDvkcRYFFVvWlJ82sbIq+r04LkUzx45XiinvH7dwGJBU53XzgqDp/SaCdj48Ov1YP/8jClRYFcE
S+7O4oT64wLUVu6ObTHhRt9NccQID46UEUXhUzlQGnf1JPRNaOARUrn6Pg9182pIMW17PYp43ddV
ki77bYvvZDEEDpQWSTnpIqOk/mYYDGXsaxNZUX/EBY7G9fzp/4NX/w6vRrjJF/l/49U3xAj9AFP/
8QN/wtSB+U6gNTRNm51wMWLi2PmXtRPQLXZ4/wKc/wlTW+8wWwJSW/Qz/IJ/0z+tnYJ3GDGZqLnI
oufHWalvYOlfwdQ/7dEcBATZCUEMGMytn+DCaKIBTCohjqNayHp2Nud3tBvRCV/4ce1o0X2GoTnv
JM6cO4sog1NQ0MxRkKtPomL8hns28ysHBkOsKNC/e5J/gW2/Xa18uiXJEdalYE/w3lLLQlJ3ImsK
3WM2urAaEpdhNM5tl5WARk90cAE9AFhpTYp1/rssToqCt3si5sYBmjksNckBcBfrre8xuQjGoMQo
tjlGcfRQNsyyhmlIw6ulNvA2nhT+pW0Glcdj8vwLyAXpJ4up95OaCSvzhw6XAjlr5xQX5GzkQA/7
vqAJ3bZN7d36SSA1Aca+OEZT2V9a0mE1m9JdzS0nc0aDb61dzqSbxNaUrkg68HUDoyYD1/L9zTDA
mlhhZG40tIqeQlLo2Y8M9kGwcLNZoSisLyDgzlvcyYa7hIQBeFBuhV8NnGkGoU0YJuswAupgtGZ+
NtqWpOnc/ziouS2YIzfsh1CQq+vWRZtrJIuYu62d8aBROq5zY8bOFlG+Xs3+NNK4MP9fSxyWKdaV
fqiyoBQrowutSzFl0cZrdf+ZkF8YIfAd4SxCkGJgyReA1B3S/G7Ct3WvQmwqKUhx6qSSacjDNDJS
ydLU2mRxYz4WtekhlfbNdhPgRLKdIB6lu9FBQrBKWUp3ikRkusymwWAWBKf/aA11ArLiT8MxDMIi
3uBL1t8B8EOrtpwJxBAGkrnDEQb6WhX1uSOxWMVaZevGswM9u2VgE8epTduCMH4FcubytWaGexCj
bVPhuqjiJyEe/EwHMFa96n1O5bPr4sZGLi/QhLptTz8D49DamVnW7lrUEViB2cZ+toP4a0McyC43
013YQ21mpYZHNE7l3QxNzYHtMGQnYJZsA7PIf06AUg5zac7bsJD9QadtPe961N3zys9shPF4wyig
vqbq9kGfWReREagTAWnRvZMtAv0pmbC8ZI76zZ3M8caqLSVWaeWX3xCR5jXVL3VMI9IKHqyFQ9hK
j7PgpPRbL1tcEz8ksZE519B2ByFXWVR60werLaG/rRoftGqNRKyJ15mKmOsGss+/VhmaVxg9bbYI
SaavOA0xICbTshyTlawkRiFdE7Y4WqcIiA5hBZfipuvQKM3D7BwL08nGBzzwOeO0gNw0G07P+Ckc
cL/14c32L9SyC8kJagSUzx7y9xaMpjK2Z13aqK1Ko1bze6QRI2rzD9qptT7QN2Ifa0QVLJi6ast4
A7cxZlYcThBRcgC6Cpm1gFsST7l5mPFY4Sjoq8s2mVK5afCHee5qlM2LnJlXXS3yMNCbO0aPy2aI
9c0KI+DqJkPFdQ3GAR0czJertcu9AUyLD200w49pRAdXORmhrxH2yUy9TUc+PSHUM7QEqAppPUGN
gEz5OI02CuVQjLh4JBMLGZ7MoIzVYKrhC7GBg3lFsJ8wr8NowupAkjH0jF9SSHdlwBA6b+UM5HlO
LnYmW1jL7KO50Y/XKrVn/KQdI63X+eTMZJ6pCGhx3nASWPpZDENryhM+tCa/5HEY4gFcaCtGA1Zb
8zQ+VLEq0g7QRFTPg+5LXp127miiZu+66Sw+MfYPtbGbBuwQVi4A9r4J7OIGezXaaq9OoZR1VqZw
ICEJ1K1rFlYaBcVNS6Reuca6rxZAGkzt6dl7DIrHPikvIdj7VOx8At5dhAhHLKECCHtNqzI0/CIa
NhUe509YbUwaB+k2D9dFPFfWpg486EOAdwFhaY0/PeIFXF8nng7LTeCR5h4FpnuM8T7Z5lNXf+ms
/pMDNeM4YiQjQPrD6XagJSg2Bt7O1O2oidzVwsLBZ6cmnd4VWbSz8GC/SpwxWuAkjdgQXc1HOx+U
hyvcIF7EWGGvOzpWAj8oZ7RUG/O6QDF06RZZfRElY3I5+HOLd3GDx4dqAimYiLTWBdhVfyTPfPZX
vEDGx5xzhmRqJ1xUFQ3qCaspfXtNTkYXLJ6HdobsY2GsVJOj2f1GL2s37OP46cbC3WFbH6+6EjbK
fwrH/5c7qGUt9PP/u3C8Sl+I9Hyufige//ihfxSP9jtUwTTraK4JWcF985/FY2i+cxGZhsJl6moK
hP3/4jgE77BZQNVL+Uiy6NkA4U9fUDgOVFMYeC4zb7otX/yt4vENhMFI1HIcF9EEmR6ua74NK8GP
DqVY0VkXFYw5/ATGmHPg0AomTLB2K5LG6kSX9WWWYwUDVkrsNyzpRML+CyVml2xztoWEiVBcRVyd
N2tiAs42G7G9eFyioeCd5ChDgPzdk/6LwvINFmIDrEBgWGKNluKX2vLH0i7ohqkgwaq9gD2s7s42
nZQpHDCjb8JgWsz9fn1BEJ0fq0ku6f4ve2eyHDeybdkvwjXA0U8D0bPvJJITGKkGfeOO3r++Fqi6
9VJSmtKyxm+SJrMUBQYCcPdzzt5rm6hVHBdBCBzQX2Ojjay0W2NokgvPg8DY+0YelSNNiUPu4EXC
PSsNebRYY19A5YRyjgZn9J1j6FGx7t0ktZpT7GO83mig0xj4vJgBnODkdxuA17RB3cFiTFdhYCms
Xh+cuG4uIMjB0GMYSHOBI47yNlLJFUA1D1iLkqkGaWJ4gBdLTQ9DWNp96+u26WAhrjsDaFX4DRAR
1261G0PTmDyDcZbHN0JXtu+GYR93yFYXD+uzwp8s6RjQs1E2PTSQm1B4dA+mUgUMwCLgmxAjUAmD
SmQaOK9sNMgZcsWUWOhg9Sbzu3UVUrhdjBRgavIBypxFFsDRc0X7IuAsadSFQqY3c1rxG30wM+mW
pfOTwktPtqE08EuIPLW6C9EgZbkm9dI39p6/eO2zQHWYnnvV8fwlHbgLQ/jueK9VjbLQLsX8uQ2s
2Xi1Rc+d+0F7XOj3NyfV4iuPRlXwQ0CauXTZjvy27VDw24kclm0065W0anDMS1eVN6PoRtWrqekD
JJIXAOFzav9Pw0KzfBwUP454lk68zLw7cgb5p81OcpOyBZT2xnPQSD2n2Knbo6PNqtpxH9nX3Yx9
GutuyQBsdrFVPCy64WsdhSusC9iRgBX1+pX4C0DRUGZQ0acWoF0oDYZyGVg9P9LjOF2lRJHcGQSP
zJQcvLyrlShAH55ZBJqrhZewxAdLZ9rzJ3/bjKLcYQJOtqUrrdUENy+P2Gv6a9oWNPWrPEZ6rUk0
fEvy3r1alsT7ZIw+cMCxLW9tu0je4N2DBzHAsUeZqP23OinGz61tAiC1NI9sOmHNGacRjFOar83g
qoyLhVgVD2ak2wAONYga7e9EpiHIuiOcu82ofB4vgICeujH72SW4yiXlBazTIG2LbAknSLXNuMkx
xBdG/Xx3mU136fuSLzAc+WOVfyfJcr7PKpAoP7C6TcIz0iH0HCJGLtYjQAO+nrIwpLcxYmhYWAw1
YFXtN+0Ld4aXy89rXsqibSBidqbRds8fRKCAJV7tDA1R75iJVniHAsHkhYttt93ERLAckxES2j6P
xXzr2K48DqkGpWLXK4zWbwauwnQV8qHF2xbuYFJwX/xwdZMNgIeh7xZCPRZaG8Yng9OCvOyFMtTt
MmOI3Jf0tacnXTF/eKLUq4r7eMxxyXB0Ir1ltO2THtfu4w9EC8MI7uVscshluPyBLsaWdiSkBECE
w6qSnlsJ0yL6eJCL2eCLg9vEe+yN60vRKxSyBC/gDWExXxHEg4HdHyVR6j3PZTCImzzmqI7q3Cqa
Lx8M0dQL6DoGZcU1jSIha8GPE5W/KkvhPNm4A+5kOw764rNihbBS/NzaVTdNVdceIQ/EHkBnLRND
7URBQN8Gi1B+7qTPd07JDWC211C3giGWxTfXr4VgeLlI8J+VSRF3U7H/aIl8FfPIKa5FUGGXazzT
PKXCZrgExhNhiEE4MPwATQWbJcF1bZvhszsOMfN/68EnZRryXNUMTxAgjB12rRQ4XwtBbUjSk12G
MXCHmBiPKiO+z7ItEmxSv3KPjAy9NZQ3l0aG/oIZxd5hclRzrG6XuGaRaU4tZN9PHdE1kV2ZrwYz
wk1fo0IulrrfZOk0B0erEMl72cX+txmSHP5uVd/0pQeOR5EFUpRqvvMaP3l17bHeVWxS1NGdfY9a
q361nLTaC/IU4sjXlO1m76vbEDAo6e8F5aDQRXlF7Eb5JPLOJy6j6/fa6JkdjTNpxwovBmql9mYs
dXXpMhrbDVgW7ljW21cweenD6JS3k2/O+UHJztnLRc4bk4blYcya7CHpvPKJKPkuoTSucZuygW3L
QupzaYTFHngJ+FQ51aujgbFfNtrNI5tO+1y7VZtuc01rI8jM5nPqeeuthWm3CTwX8LjnD/N16802
CPyx2ia0H75nygdGi7HvKHSe7CesOddu0vnONjXdesFDynFg2ykxMsmvmkNQymWVR9kNJN9Z7BPX
ugPW3x5MQuK2is/4jDKfsSUwBO9U07gfd0vlD9eyd+KHsE29g9HpYu8aZEiStqMDEuo879pIe3nB
gr0ciWZdTpNB3a/7YtotnVJRj48qgmybY7zovMcxG/VXEwzwBV0MfUF4Rlhu/3xC+e0wB/2HYSXt
BbpuNkObn49EsqnsIF87f3PfMoerVz3AZLMJUalBBkYYfxHzlh//fNVf1HWcinwEvC7yQU66cKvX
U9NfdG9OrMFjTm54pmBpX0BdsDC0/YqX+vN1ftHXfVwHZyicXk57q1z25+uMaeMNXZjEZ4cSnTXV
VKzZKxzY/cCR//uLrVpBbidt1d+QWxbvsJFwCKRXitwB5q4DERZh6QdD7M+X+v0gy3At4L4FSP85
z/9ykJVJ6Le0Hryz7S3Wdb3aGdwJ1xgiCvC10EH/4Sn5m+tZ1CE0niFEwQD6RQ1pBQ2vbVm5Zz2n
8acfW1CdEjNGCMkqxwEoyu3982f8pQvMd8eHW6NmASXx5f16WF+qxOlD1TtnzEKcrn5g5FlQ2YHr
mXE882R+KjKqkT+biCHmf/2QoiBzuc8mobrCNX/50E3tSHMGz3gehkwdpwlHxGxNzT9E3P7+KnAV
31rBdYziqEx+fkTLWEx1nHXeOcFzQ2cPl4sf/GPK6t9dhYIyINSFOdhvgz6vt4V0DT7Lh2TXy5Ae
4Vz6/3hMyAW0QWdR7awcrZ8/SyGRFbZwBs4gvAFpfzA4xwWC1Q4tsHXdt/Oo/6Gk+339Yk1nNeFj
ASXksj9fss7GeJmAOZ6NJvaeLTxL6PpGjiIDWd67GqsY6S7dCtf+89P5+8pCzAaDGotPSxLerx81
RCdi6tYVYJsgBMa0uC56D9ahzjHn/flSf/MReTjQxHMGh+j362Lp0zriUpXAWLRaWSqSHDQpMy+l
syon1gpuXp+aP1/07z4f6dkMQkyX2fCv/oIRu6Odhp51Lj30z3WF3LY0g/RAofOPb/qvXE5e9ZDu
BB1Fxw/94Pc3bdXrmawnyPw6vEi5VbnTxvXN8r4dtbpuIEGhulk4Js8T5zpEY0t3PUrQH3um1w7F
RYPSDXPqV3KpyQgIdI1wNCi8tvyH2/L7Qogf2fZXoT0DOkZnvz5u7gQ7Ge6PqNA+RFmMey2fDfbL
MWcMDKaZY/2fvwnr93cXdwpv1TrDxiDx6wA5KemXgALmEQ8MzrpzYFM/9MBAvgZqRTSmbbw+73lm
XcuhlC84uABc2lkICrQTsjzIZIA4yykJixPG5HT751/w7+4JaxjPCtFk68jz53tiSmBrY8BbX+mA
Q7fp5q9WgsqzK+2amA9JCtOfL/jbs+mhGeBtoJXDIwpV6OcLStJNOPQv+jw6a2AA5m96nLLmMZ1X
Ica/vxh9IxuFRMhS8+sugAw4NJmaLeePZAoiKcJLTOxUOa7ZwjP988V++6r5ZEFAm8601x3P/eVc
VBWG1XaxuZy9eI3tSEBrw0mzU6rEP19IrLqnvyg/8FCxXK6HB4wwbOm/noxKkvRmj4wBThAq7W5N
ajjGIkHXF0+x0dDAb/ORToiT4H9NpxTFGLEUtkKEsG6DjQRpmq3hMMZEsYRQDU+29tE+moZHK4uu
l018xRovMMmC4vgj26OvYfRU/3Yh9tZJO4Ie9jVcQ78ehbIajJhfdd1ZaLSPE2qjC0zg2SExyfL4
80377UHnUjwDDhoSWnq/KZugh4h+nHHGKnxouE1zPr9kwEMwwExeST3/Y/9w3b3+8i0hFmE9RInA
f8mV/O1bqnVlW1K5ztmTs/PN88R4Vg5ROR8NEc/v6OpIXbpPzTyLf3jJxK+PiLO6exi/21x5VUut
aoSfDukl4lg02vnZApZWafhGgcd8iDiOwSZ0lKHrOxyMguy4BqHidZgg461tBQZW9EQmEHKUL/fm
UNFF1MXar5HKXwuLAVEB42OeI1V5XQ4oycpu/X4xav6lKXOPIVp2JI5FYBPtl3foU9fHqzTYDA5L
r6z2PKqlJUPR6+Zbd1rDlboY4eFFQeOI0e5HokqQIF+8cs01ote0iupuottwrbzeOMxO5t02i2WQ
I+czOaeLDcLM9CFrXdKWNuuo890h3KSOai/7wgFA5petht1BUj0FtM7OICHWOX3pDtAcrFQCdhtk
5vb0vs0Rmp2t89WOV1o5zaOhtUrr66SCgqa4kfO+kKKzNkPhSKW34zLzZ9+Q+CC8hhYlcnMG9Edv
LKiKaqn5v1oycfw4fI4FIaD7sFzPNbLlXUvr0oWpWXewwworWT1Ri5pJX0oCYybFBZb2LQr3srks
Ejn2dx3CcSIlWp+3u7GqtrhvNFJoxqC9JfdICYmKMfGoEZnVFPcIWEkBQj+p6fDmrv5me/XgXClp
ra2oqeRrhozAD/LR3TcXwo9+aHHEofETuXM5rkwsOhqgy8jn66Eoey34ji19EDpXBNfRCA+qxbN3
P7K4iJKMcRNMdn2Scz4YD3OTcWlZaHat0ERyKjdpaXfipp5Gt7+3MiPttgWPS3pLvQrgwVp8SFVY
T5zTOKrOL7Y4vo1IM3HG4L7mbLk64Qmq65FCQvhT5l86ZFdNp/QjMYrkFKTY8KrpaQXt0OnDXFLD
btD10WVEOTqrR6t24VkHGVjjqzrFl3dNpMZ8++McQM+ePB94D7QaUg/51hl2EQSYmEZIIOm2NfN3
IvviW2guWKI+WnAEV/HL2OlsPTq5AMMcp2m864YOQ9+P18pb7R7m+s5MPujUt9rNaL0hHbMerdlK
kc+xK5Ji0yPKjZTn8hTJwFuNEqXLNyW6tWdu593wjqttGvczpprbH6MZNEdvsWuvB4nE4WwXND4O
JStfO7GK9vymZXx6hLxCB/5j+/O9gSZjSu/Kv3R95hEbZAxzvgf5ZHYXaNR5TavWYNJQLg43likp
YVt5KJLsrqslv4hl0jvZt6Xo7mttyfl1mH3bgCHnu0VxHzThPFy5c2k9enlek2cNtXX5FhhMMnYY
DYVzt1gtXeB04WxM/q81+RX7MWMA4pxS2hU8Kw7THCxFTm/7nzmYg2zfuGpNkNqU2dgC5ItjBL8R
S7ibn0vV0a1fShsFKh00HdCSwClxrkxzptVGh7xfdS16GPPpx47/vwK7fxLYrRrcv2y/vyXSE2PB
+FJlP89JP37ov3PS8D+oukNGOeuMlEPi/1XYhe5/YIAxCF0Hnf9PW2eSOM9czRTo7iBWrxf/b2yi
R0Y9p0ifv2AGHMCcfzMexYb+86bNZk0IPWUTVTatIPTtP++byvKw6qEbOWvXnOUGQ4M39huHNv+y
aT1nfDGTymd04jb3WbvU13oKkUkHjCCiOhzynUVKyUPeE2e6U2IubojFIenGM+gNh6TYzGFmn7Hn
kNE9ZgA43YCKAN5i6ID1YeSF+dFNL8Zyai7NJLT8TSPKS0T2xa3f2MGhMsP0EPuxf3AIx+2jpDJA
fUF9OugsVaeCY+PV0C0xmcwdpkUbTYeCRQOpCbzx9FqAqSPZlkZ9ZAOqw3kl+iNEwvi+kQ6i/syY
5tNgvheFbt78ogyudGHH9kbNQb/jLzAIHD3C8uLZu5niOWAX9MLSjFbE1Wl1NRwLJYwvJAbI736b
4X3KawKc4kp9S2YRS8BIrXWbpe2Apc1W907nTGeyh0y2vSJfgE7nghipxoxyl8kJCA0bCQYDqevE
rJOLrtXGl9pDx7zBrcLCrWV9WjL5PIazhGG2DmnSYHxK275/IL4JLA4Qa/W+Tr+elVEgIxlcEmc9
TBjDRtchhVdQUxpzwNkIM1On1A0LP+K0pd4kOztJf870GbWn4CbX5XuZ9f0x1Fm/t5ws+6LNobzM
THWDIMM9F6pvz6iD9AU45TGqXX/N1Q06sVVk22ELWwbUZY1IiucwCwGxcZcG/rXK6Pais8uLxfJj
PLOVxwedwxxhTTxcWsS+AHQ00wPWjvKRvlb6ueiztADY3NqEeUF33sHezq0tla3ZbjjRF4w7ePZO
UjnD1eAQLwkUyLQx8lrMpVPNtlAmi9lFU1cTiqxtvIPMAqfvGXIzFbXzWvrVJdtnm6f1bcYUb+PI
xb9MUK5twUzhJlJBddVipL0UBueBqKgmmDaNA1hl4zZt8glfriBrfkicdxKO0R0VDEgOfqn4Wzjr
j7rV7LRMyxNEPbV1zQwjvEtiRC5TYOygeEKhWcatp9zrrAzHL2CzihOYa4bVuWGk27EbloNDttkF
wTlexw7V109hk8fPwJET4xxLIfNdWPvWVzmZ3bBJzWm4H5EcESC3FNZLH5ZxHUFxGu6soZavikNZ
FLaT9VYoG7jauPTLfcdMJDgCYEPdqIKwYRRIVFBY2bOzIU4PdfcQW/YnezTTC1SuzjvMSxP6HxtY
EvlKl8c2qYPXHNj+VeHOi3nicBc+6rFojGghmGoFN5VjuSU0sgEaXFdvHEHCJyKi30nRaVGsKhuD
qrd8c1u1ADsgaKzexUFcP+fJ0FlkH8Ik58uq1UvvOwoPlp+3pyBuepDWI2nEveuGlyvfdtv26o6W
AzmYcG/7HQZV0gID5ewCzsdIQH3sUOPQbWenzbYOykkclT3swsbyz67ZMX220zzgPjj5oRkGVjRl
L34EVtg8jMCt7sVouIcmM4t5a4R97OCVUOaLQIS50w6L6YjbFn5wXWX5AU1keUoW4M0IsTiHh41N
TFKQOdxYv8o/46dENiutnlB1reMBQS8oVIBAU/s6+gvjDoeC94ixLMGyaC7djUMi15fG9bGDIkkb
bxe5GCwuGo9aQwQZJlHk0XsD3vgrNrfpmyzT6QV1rXVldxnuTAwkSFJtd1ExGltb3qRLGBdbuESk
X6RTzGCRzLrIMtuHpOjaLbTp6UJ5KmPaXcitV/tnp12gztd1eRcCON2O5Ped8oJls7EceZjN6jGp
3eHQKcDFKw9qRDbBbIv56VJHSEm9HU1r/VUz2yT804JY3NgDXvgmJfiJDl5+Q/pHOQ4XTim9uo8c
NbXZZwCAZX1cSO4szOdgKbxCbFJlW30PDHPp8pt4jg389bl3Y+XMlrVVqnsPvvo9YvXklmVxpmtd
6NOYTJ9cp67vJX2O+8HqYhR7GQGgE118+KkqGDa1X0/nlaH7CRU18rRu4rUK8NDcImqsblHvSHS0
FTCmrHAoK6suakY4+LmrEpZtdjvCSpbsehDhsJeBTx6a3VXVdR6a/LpeYRACWabcGCpGXvVQIM9T
nXeJdMG70cCwrly3jvVG6T5+cALlnfKsmB4xhXA+T8c4/WZrY7nBJD1Uh96QDUXhEl+H0GsfNM/4
KeGDf2kziXVwUe4BNRTUuFjq18LJZyyQROQcE6sk58xZxGa2+mEne+jcRe+yHg2ZpS9Er/1TmqUN
3t/8FmcH42Yp7Ju4KTuHRbYAXKTjU+Pl4gpCQtKAOnNW++TQ3CYoCg7r/XxUzWxdguFSR5YL/wB4
1bhBZzvaOyEm964Mdfo17hFekOeHFUvJGRGWa/aAkbW/3IlCTYdwCcPTaA3dJxUTQDhahOTyPnnE
yg2NIu3YDyu+IjBU1C6LuUXUnOJ2tUN5N9lmlUEOtkG4hwTPkzQDK0yWzs1QVPGVJp/21LExUkKI
6RrK1BezIXjM6mzRIF505TPI//TVnOICyLvRHuh0GaCoRpYaHr+UTdopbTeCt+7vszEvbkH4T6+t
70/bore8F9FkwY1Yat68dF00GYGJjLj3CY+6UkI0D/USPqM3WSM/UzKsme3KNSi9DkQaMbwOXzIj
Lh5o+3Ty1lNd1h1tH7XMRnteAZo4t6R5KTwIWoc2tGpToqUEWBax8XPnG1pOD0om25nEqWVvp56/
b0PPj1IECnGUJ9OdtkSTX/SkaFegx4z02W1tN3sTHq94hLTEdHdqgkCFqoQcB+1dWdY8j/2hSWAS
DGceWaGKs49a1OjeZKxfOPbOnwt0yl/ycRafwn7wHwmCbM+Idx5l7S87AK7VyZcd5oEBD6nfzPde
qV9YAL+Dx33Le+/Fx9HwzpCXE4QDV37TucOLHxr50fOD8pbgid3kVMYlXw5FMOyfU00r4rutUa1u
+laSWYS7NmAmP2QYGZulv7PdqVgiwLmp3LQqTJLHwBvUjiBffZdqzjso2ie3Mn40//63evrH6ome
w5+rp7r+1jX928/l08dP/U/5xJCOsQti0pUZ9Jfon9D/gGIRvvOhJKW6+p86KvwPwTjY2Rwm6gy+
fKqb/8pMbQKDQpu4Gea2bsi//G/qKIsgnF8LKYsRIvUa4xbbMsWHe/EvKgEbN17Vk/16UZtGk8oB
sKdnbAGTxgQxWHO7o1iB0LbYY6v2M4dIshza3v42zyWGkwoVPiq9pbuCVeeEDTwVbPKzLh3nkxXS
m95OnfWeBCJ5qjDkRFniuZ9HOKhXpBf0t2tVFu+zJuf9aIAcXCUT/zOieAnbg0G46nH1d1z4OUp9
KDJ3pertd2MCZX+Blm8mbMIT/eWYk3XwZBfx4F92WpLwOZTexJnKqezha/4hfRXdjLKwMUltxC+/
QChHhr9sbWXaMGTs4QWOw4RSj7fZuCrsDBykVJVPqCnf7QPhFxVeJAFrZNeSVv5kpRzyEtSDOlJZ
jjgFqxOoUtXIB88ZxKnz+/Qg5vxryVRjl7E8Y5OQaPNHRFGHXGSPC6TBW4+jZX7kr9hXnAfjigwT
eIl9bVMOwiSxd71lvM2FM28CM68m0LQ+bTZyFnaS2hxQAvDALTIP6XJyM7p7yyzdqzFEzcd+6Fun
IQwlM1MdEq9eBf5D67vxo+oXEZygH9nGNu9at4SE6XBg91WcP4+g/HYGeYtRgbWXe9COGznM9dkL
m5IMQx8Z8VBN1GEeMxRUUst00Q99Qj5u0qY7P/P0vawTJzOJD0XbVliEOvSKWbvop+OST7reMnof
cUnEMt8HSxwfnaYSz622gdvqztCPYUk46aZPJj/j9GgG5aeMI039lAQ+buPdQIdyNnYTgRFdd0BZ
Rol0ShMXW02Vl25mvSUdqz3fXGltXLcMd1XnRAL+6rWGX7CbzRiADzyWE8qf+yCNvV2IWDYqimbK
o4wD0MZpcEWkhG+CUgEOvikxxrAJu4JMDx2PgP+DdlMb/mMxE2rgilMyqCt3CbBFTLiFsgaThJZU
scUB6Gt89ot6X9PXf6IkuptxJm4Ul9knHJRoMCwvljnpPQKseB+PywNapI6iME13QPHzS1kZ5ql1
nWLfUy2dQ4NuWcEwYNcZ4DSIEc/ODoP4/RQ0xBWUiz6ZkldTeKV4ChfxWvcBYSFW4m/ytDcip8/H
PUavvj+TO5af6Gm/K3qxZ4qZ5EKi6+IgX5k7YgsOiA+jzmmHvaNb7o9BEkllUI1Jg24KKespCavp
N1fLZ1BIdE7QbsGsM0GpOor0BjCBcMGHJVldhTUW7gVfSq4f+szoyNnNsCoJFzOHyq1bfvv8gqhx
QyHb7NsT8vjhG52FBTuazc3hZTtKjC6QR+xNnWhytaQEWeE+SLu8L4LsUlsxXf2BpoTQj5nH/m52
4dlPpvsuhPbJqXJLEMYuybn7CY66YHSeOikPwTJf5SSq4P0Z5r1qy343xrrDdud88mCSbKa66rZW
VX4rHVOBJ508YFrp8JAZ9VUgLYuSANoo3HUWwSy4clpKm7ya0eGRcL4RAAruTLJqdtWsSJgOx4ln
q+2smu/DO9A17qI1GPYYqPILJ0ZE1sIMzx7L5XlQ6A3n2M6v07DPIWna6Za3wrpLUnk35t3OCPhQ
uqmvZ6q9t3JdzYoh9lvs5J1x0bbCuc+E9M5N22MhxEK5b+c2hFCSPptGRzNYzN/TvrKOid8x4Mlk
uYEaTiAvss8zZnF717Gs31HdASDWXngqcnK1PXU3jb25Z5kILprcmPyoK7z+M+vKsBWjH4+b1u7z
a9oUYyT7oj+YfFF7s5EDekA3vbfnOeTIbaINN/qtk1cvUK9FhKAR1kq1r8nN2sx569P86e6JFGd1
gR4BFjHfk55h8+s1zlvqZJDWU3YHGUcAksJDlvePJfShvah0/EDg61VrSBVRHORPmAKeXPjxtJrG
t06Hz15ChMvgejzHQ0uMVUmIjJj2UHLXiuAQijzmLkrnWuDVO0yB+lK7i7tzMV4dzV48trFfrF47
dGAEGY8XLv2L69Sy74ewvSy79BP1HeBueP4m/ZYNK+0OWNbqgUO46rhRsa6lrRHcBp196LJ8vp/5
6oCrjAnBKJ4OXos4sZ5LbJxbZfu8aobDvM8frwCS7EbJiTUQ/d4dpaC8peCXI+US5r0mjYqlDA7w
X/Qpbfpj3+bnMYsLPLJmFiWh0XL8N/ZsZmWk4xBMB5QQhmrO4HxxDL4vzpFGcL1o07lLq5WB7Ct5
RcgKvZBpbHYEVKXv7ew50SSGyzmT7AlT+WQ5IxGqzVU4ajbWPATQpfqHERUJlIPqyzjXxzBYnnMa
lruRz4PsuilwcvkZWfGr16+y9g5RB4JMYldfzxCpwdfHst0OzLAu3MxNCCm3l003JPZL3AztPbP3
ot4YSFtbDLasTGNl17eJMUJCaRSU8p59rSWu7bg0br6ld93u66EdLgU4cTTygtHPYJI2YhtPqTGt
2zMZBY0XksXtXk/wMz8hda9vzKQd562zlA68kkXnw32dG8Ep7Ap9nkf7ycHh/W6o0UiOcYWyfO/6
k91tbFKt1cZxGoDv7LNiN/bhF9o9t1bqw6Zxpv6+c+vbqTYMxm/GXbWkww2IzM8dra09PrbmTLny
Oeic8nHOirMwsA4g+xi3ghiCV5ZX5zjRz33LtaV2uEjUyZ4NivhmTA8eBONNELRFVFFqRlk3vlAy
dLvaDIyrBK/HJ9By0yYcu+C7N5BAhelUbNzULt+awF8e/MmgYBqCF7tw24hYOv8TpOWM9qVnRqDV
8keY7CZqdKQnIbniG9sGuDc760vEF5ZvSBSCB416mPeaXy9h/rOr8q+tKt4X0/DvQ+yon+1u3Jno
mK/p7roAh9iyaYxZcGoy5aSMFJWzaU1VXgCZaWBkD5i4uzq5skR57Iu4IMzdhyc8hM090nJJUkOQ
DnfEdwVH7Xvys6HDY9Mv8+MIjW5v0dHNIqLes8u677/KIvjC6lxCSfTCLROw4SnD1+vVdkgpCmnL
nYxsB3iMDYLR5LYXoMVTVzC8NppcoFO3s6gRrrzMrU5vyr5bLitnCo8T1l+CeeSXMqmsaMC8ad22
7Wg9sEB22G0Guww2Xo8xm95ogiqdYGE2r86oXyTCz4vEW9x9yVnw08rSWoArlcGKE1rshyq1rXfG
0d67k9XEU+k+CTcxFaGB6GiHaqDYC0B2OEVgYUEkPPuDNigiYQnZ4iamULF5b2uM8GciELYVJw9Q
btmY4C6PLVQdFwqF+b6oxuQhxA6srCsOWlFFeoAKNfbp6SsiQO8ggURvK9SGkNmSVdrfiI2e3RDX
tnngWzu7udNvQuaA27JpcgIChtexZxYidEt7irjLrVuCF1OxZP8rGiIqawjfcdtvcAmVRxuZNv2J
HPaSOe1iZV/naW5jsvDUAXZAcJGlFSYsfKpR4YeYdNJ9SRjuvcLsezCtd+pqDkyoyXd5FT8xs2fI
IAW58I5Nm7Btt52rYEnlMdLXpd75sjziXMUSo2byc0NhRY1BgnyGJR13hmQ5ydwN9jNaXhJaiy7S
1ynsLz0O+Hsz4BYTh/EEsqbZAS/GV5FVFxPzhG1uBViQZo6GOIPI70n8lj2xbE5N49yHSPMPRBd9
KevhCU8CuYievusr6hRBH4vQUCazqqUn7DCZsFtXXRlqHqG4G+ITkkWcq2VVPc19x/hZ5Gx1i+Eg
7aN7bzco61PkqBuRN+gSKv0EchE/CS6XKGvi7GuhrK01+xqyHE/5XHqbxXTIm5yD+Mm3yktgbw6E
AviTg6y/c/iFqJ52OyvXTZQaNC9nZ8Qo1qV7XQ7Vk3LybFuCh9zDGA0ZQ3HYETJwN4uRl1dkNTIE
gZC6D+lnX3tB/G52KtmGxQyVaCrmOwYXUBI7z4qW0ufUY4GOMtv8up6X4Rp3e1Q1cop0p9aJs7lc
wy07G1ZgQkNr7MgfR+TLoT9dMi/82lBvEG72IgL9lrTMM6xuuKTMXbgZBb4EfYqDYtzh6TmU6Xda
ksPG8jrz0ury9igLdSuzFVCQsjymMoiQfpv7tqW8xYpkH4gKPYjGtZj15xcBUnXOCSagyeAJrLm9
sTP9NvvDl3hI3pum4Plp7Luhv/Kb+Ikeaw/XvU5eDYNclQFgP30vHSW2f6nD4DloQfWFYXMo2Bw3
pCWSmQmPf2PUpnXpOO1dPnE6M7rcjPpBk2ZWkGoDYa+BpKCNW8YaY7ApqlmzJeQxH5edQCLcbtP9
EgTdSfEEvy6K7mtBr9KO8W2ntujALDgANwlQqABB5FWzgwtRXbNlOfiNGrvkgNeAZhSpqu8mTGnH
0ZjlSsIsDnlmJAyjBJkyUQOG8UVMFiYnpCMUOa18mga81SMROCdO1cUp9NP64IS1s28XnVwAJfX2
qh4eMbTjR23CmzAY8ts6M6zvbtYNFzrNvHNrB+ooyqU4D2Te7d3JUY9ODXYtUOKNGj6/KmqHAj8x
b2CRMRTqmuTSRu8QDfh/rxDcEE2n5/lgN7Bm/w97Z7IcN5Jm61epF0CaYwbMrt1FIBATGZxFitrA
OIgYHIMDcIxPf79QZ7ZlZd2uql70rneSSSSDEYDD/fznfKcYOS0x0jJ2Gk/YtqN7J7FrEjO17WxT
UldwSHE75r1Ot2gbBuZAQQ/pQDhTFci+WZnceoQsD7R0v1MEGW4QrIk8lrxjbGrP9YDOT2H30e1G
FPBpvCG8xLaiz4jxyfAHSJt8i6ZOaq5CQodEVLMN6tbtJPn2fYjyy72TejPbPU79O8eirEfPFoA6
HCAZBZZH9o1Hv6rJuZbVuGO5cmNW84WP3q3jErJsAUqLwxTjAXgae47CKC72XLyOEjYJTTQk53lU
8xSCG0IZbB9eQTEJNkoW9AwlvrtBXY4MDEMQCKwWuGgvQDqV+aGXjhl1nSo25LDElZatPvWN/dWu
tHUSYtlczhbWmt+YrO7xTKHOHeyEq7WR9L2EkqbdspwilHLzwiXQW0ka9mpyirvcIhomm+qcev5z
E4T9nv11G83qMr2Y511tin06oXeU2uUs42bLpeCOb0XsjdiY/rk2ihyWPi+4nzbdZbhO8xQqA+cs
y66jinKLzaQzfj3qMyjNiEhmsiq7IjlkTUmaViqXTctymrhTo+FSeicGzRrpmh31nOP76BfvtIYd
A6e9m8mtHvN+YeLctlcs0c8qGeudM8wxRy2uZDxSkR57CHxmLm5Wc7D2wTwho6w8dHHMkHk1H2B0
HoOCAd7oyahtgZpy0Fnrl9YxkE2maQp2Fg4d1s4Ha0kXfqNRg7uZOHkFE6AwjoPaEJt1pS8FRWBr
JjlTH2hEG+ZD77VuwvsiNfggA3ffTm22Ja+1fsOPfuevIU2vyrQY64id7l0flborvIiNskFtEvNh
DjjFU8WkJjDbm361rmTgveH5wFP0ps1qP+jgqxsXxTE3h7ZprkXUV+G2LerILFSxhS33xSxTRqUh
f2StkcXtxTh1AZ1Kq2kQVQK0krUIIcfUaAGZubJtAZhaNMVdl7FAR/3QeXOkgObfUidinQz29IpQ
YklaeuRQPrZLx3/iSU5cGKqKUG1c93PdbTOmrVPrXSl6TpmgRh7UHzZishx2qDjkF8rBhSFi+i1P
6KUdYAev3d4BxxmC5nG6Y1622MdY1TTQH7NzK7bGLfjJywBBPxlwFvtdFZCV2+FYmLoIygRSm8cZ
YWH5sAYwvk5otnRT8R65iUJzoIRIAJwInPdezr7UUHfDHsXif0av3/9sbt6qn/3/uQwCPthcsM5l
+v/+/V8BXv0+J7h4h/7uL6B9cr3cDz+75eFnP5R86X9UOlz+57/7j3/7+e/xHlzxL5T4nrERCED1
VyvT5ev+0OKBNwgM7SZGW9ANvwT3P9xMwBt+tVlcHE6/91nY/PEP85L4DaYDuSzGmKHl+e5/CwyG
wP/3mjtOahc2GJRBz7ZDTEwXTf5PmjtycOtK1ctjVdCW7ad0X1FsxL2xVsSFXJ2Jg25d3B7QBngQ
mRQAOZvx0qfecJb8xpQJAjIZaorpWFZB6oTmgi1TJoQ3UPEo714MrOJKdqvF6DAf1qsk95eBe0NZ
MRNnKrp9ut14lSxyC+wvefOrdpvST3y+bQ6QrMtscDgFTqUHgu0+Pba03ATThJ3y0tX1q93bJxtw
atwLMMyrqWviZUL2SXC8vNlhve7I11FoA4z6uBC3ZMHPHPbUh3JR6KWPJsxe4xSwyzLZI5JR+xxT
O/V2U+izuxVjkuZxNaRzx6MmM9zXTIRAdy+9SDq7arSNdXkzsaed7lrLH7KNnwZTerOGRhbsGgk+
52FKhYdDXlbAY/K0ApJq9ehWWyMTtntknMv/TM0s9L/PnVT1HumSPAC13O7GWzBzRYnZE8g3p2C1
AyjanpnmdIZ5CTY32Bnpe7Uu6S02hyZu6L1CIfaXVm3Qi4Lv6zBrg1VxmmMMu3Qye+tW87eLd5lC
nqIdb3y2jX0kRWofShzi7MNB+U8JfPMOZwJIrX3VVYIi2wAjbAgnbgyKaCQrdNWxK2idVt21pNO5
YJRP2eoAXsjAC3E/esv8jYeZ/C6yRW78EnKYDTjgMut3fxr1XDyQQYB9jx1rW4dGuAOolB811Y+v
hYt0Qp0ZOFG/q495WOuTk8AZNc0Sel0h78eZIDFJwdSPAAZTET95bABqHDPLE3VhY7cxwrB/dy8d
XxW9fduZU/JRph4GiUlXVySO+rgHCxABlCjZEVMu1hpmtk/nJvzw6FEuORR2xd0IjOAtZVZOx7ha
4C4tAQ8IXZjGiWY8vmoRtbjvenTqiQbwZ9sqnwpDWa/4xlSKJUx+5JZnPnsBN5UDbXPHIx3qEEdb
ROqZoj97+pkkffC2oh7GoWrEQvt8qt+Q+OJixZBrZpODI2q6Gp3MvS0BRe/scQX860EaPXRYeY/g
C7wz9dLm62wNwY2J74Jt2wQ+qJA0nTkLZjZ4E089fJJbe3Kbg7Qr+2oCwXFD7p+5VqrcewC95s0w
quJ7W2fFK59ouZ/nwb4aGsxJQ12rG7k65YdKNUPvpEv9U97Z613r6pGDDfE08v34VBIV+OwqNFZd
w0A2N+w5PwdLZ9+HqwCGNHFLHMq5w2iigjw/4dKzbwdEieuxs/MXTOgXctwyibOSY37WmWyfBsDB
j3nuqROMiTo25jx8RdEsnrvR01fabUKAWoNfnMSKmWxnVll1R+IzOSqQ/nu9ipRUQxjsunZ0v9wR
QDmRjOVlLuhKQ4xk7q0qah2TM+AGSimHTOAxuIyw6vRohepqwTaErGmzOXWGz6GeMFnLujyIFIm9
djkxmWZPfyqktZ2ViXm7zl77TtvrcCXaKd+VDiBor3am+6Lh6JnJYDk03WDfE2pcvg90BnzAXxnv
eUOS2xkf/QsqvAkUfQJW1Wu9baq5oL4bO5VyCo9CiKGR31SOPZ2PnbvFmNpd6Ev1SXWx3q9BhYIw
J8KOZw//WVt1+g7EIFjbERc+0wnYbAHH6a/VyhijCGgzXMocZhAdnmgKHM8Ua9wptMIbCxvidyvg
/l/dsN1RcoqBm34zcfZyKc6hluGNwfTsfpnHgQdFv8C/aS4w/XK+LdtB0d7MjUq4NoV3jchbRcmk
2bgSYjiphmMFWWrqDwa7Pg8tco1vs9SgeEKuwbJttY756C0MuCKhjSTqW2/5gBwyc140gg5XXV8U
h56ygHemhQzWCnniWUJUs22sHwXH5mPZu2TjcGE+mV3RP6S+BtiGHrcxqEcl1rHI9ltfDyFyr7+e
RzaHb6oZGNOa5vRQ5g2KHnePf11P0/JJ62eBhzFt6Rio3elkpNW4T3pzvBl1Z5+s0rrQCtr2eXLd
/m52OQMslIDv7XzO7nmyqVcvHJr3QNf+10JUgmGH7sHEhOknCkQRQ9dAS6NJYIJmfrXMvbv1TaER
+3idUWj07NZNWUwb0ZfjmwLIXsKFgcpDG7KBwz1z2udkqHXc+JAlArfKk8j1CvlVO6Q3+nBsX4K0
9rzYadLq3U7TYF+3c3IezCS4GoMa5CGEyGMWBsjSEjL8YvF8Q1HT5Y12RHhbBFV/luai4yHoEYcb
Ay69xqVfOBK9uvQ5TY718BJQc0ITAtou4zuDOXlvT8M95sXgejXC5aewh3LA9ZlfQHy8x1flpI2n
LHO9V9jJLD2SAQv7XqOoL4u2wnG4JkmsRdBQVljbNzkzVJYl2l1kAKkOWKEb7H2NSMY1MeVw20MD
ipGJ9wqiXPAmCdfuRG6/OUPfnA3sdY8BYvTGFLN9PenQYRlcLLyADO9piz5fPkC4Bba5XwESjkud
b6npts4UABRw40AJd1nd3DWpZX/zAz3Gs28g47aNuze8AiGRbGNMksoCdpH3W6Ox1ZF5Rn/vu6nz
obOuxOSm1bodpjF8NF1MAXXbWztBGuOJ6prM4byonDuZtFTwWeMc3pdp7e8JvTXRJOzrIOkmPvbK
ETgZkEgdDxSktoKYtEz7k5oES+OIRgpOdOsfGD6pqC/7JaqTpb9Ta6nu5KLaA9Bn6zDbCADU7RnR
NGHj2Sdm57+wF7CeZjsswMZjj/8KKmN4rZrA3SVSfXfb0o9xS97bFnW1/H5Cs++gEge8/ISeUegC
qr7qjKNXWz14KGTThId2u37kqqswqFI2f7KGeYsLeLpakJG4NB2ONIV07xL2pjsz52GN088pmCwD
Atza7cr+AzfCcGOnQ8vBt3uuRVfdQhRyVJQwLtrzvKt3I+BvTukcjQzIoQeL+sdb3/Rnngp+/soG
zUPxLRC02yU5DKpImCLL0Nr4ZmfKo1umZsSVDdakUfgEYKQWLlSJhu3r2MNb4bj14HVdtplWezp6
YoHGQn0i9wkxSy6O0EfaXDMUSGntpWBZwfzCZnpmp4q1yhLT4yjK9JuQTfnNsdgDOhgGnIhRU3ur
pA6vVumxW0nd5Ch8hY8kBaOG1wEjOMrvmBwhXaPWAIMpToXGYsE4zcwHtpg4jzn7pf1Pm9KgPoQi
QxYYqwAd7dfJSOs4GZfu5JZMb/Ga2WdE0uUmbBFiQ5kDok7b+ZTV0xqnbPy/r6jcheM9pR51CYOV
39Q5omNpO6dK+uaPnAglOkdZRm2CnWHjV2Tz19E6LoZfb8Yps7ftQH+lste3LluQLoz7QCHohdno
YSc36UFtmc40up72wjZo9aARY+aIcJWXZhWXRfqNj8XeDQsGAk6qw9Yu2dwYZU4na26fe9d5NXuG
kpjpBvppZbmVMkALrEreGIx/NBQjD+CPUhvyTvWJqbXN/C3YZWm9nBg64N11rGe7A7gTBXNTRcKr
u50JKSJajRkWmBzs7Yr3jeFkhfkVUP2aF/brYlgzwiOmhIranTBx/dvZw2uvvJq0GJffm9H7MfSx
5AmSmndQFOacELDFOavKHMPv5ERr0PGY67P8mCsfcEyv14hcsBstzjBtVKPTmxoK2C4k8XDrCn65
IijjfNUV5wTVacRAXBZ/8o/9f9h5f42iAhy0MF0wt4P8R7LlcnD808EwS5AP4Ofmx6LqOdYZREBO
3RqwSruERx4dUbcfir1UzSObrtB//sM53/5dDvbyw4nukNsJXNv7RVj88w/HycUkZFX50Zyb7mMt
OipT8zKjHyWUD//8R/0lgs0BmPMM9XaEFIVLgugvv2eOE8oDMcePUlZbx9wjC0SrJW1+/vOfc/Hr
/fV3ggbvhBz6BaXn3l9iQhIaLU4UPz0OCt0YBIJz9Aaoo2Wd67u2w1N9PYYZU/HFqd7UpTiCVQUa
rQGhmsM1c7U6/ucv6R8/4ovTzoEjzWwCw9Jfzv6D0EGmOWWQvazXs6i6ZW8XjBlx4YYkjUWadR/z
MPI5m6Bsf/3s/3Vy/gsn58Us+adP6R9icFRjUOjzof/WfP2NqvChes//ztP5H1//u4zke79RaAmn
gFEJMivzg/8Mxfn+b2TWsWFDFgBc8cvt+YeaFPwGPAW2BC5L2AO+xyX/h7oU/IYQYlv8o+eytPFP
f0hpvy8Z/xQ7/w+XvBCk2G04NxgEEZj+Am4AySxxJ87iILHJV+kXGIdbzJnHIgi2NU6IKhenXiR0
BA7fTWlsCrv/FwtJ+A/XOC+BUDsWLX5nKzT/ctc1wE5UwGCKYxbn9sT5vmCJ6UdJXTl12BaKsW6H
bUjmhqs+OSuVEjSxnDqerFdnZO3PtrUy0rO4TK6bgDGN3Cgf8kbmQSRy4W0iLxuMrDdCfVxa1fMm
28CeJKDxo6Bv/fLHhYQKBWjf+rXZ5xX4YyNe3BCvISRrnlUkFcQIkmylqW/AQdLbNo1EQ7TY9TNl
ypuOa+Iwe8GmsjmBWIzkmYpv8mK9d3TPM43JSY6PgsYfutO1jaIhrx1juAeiMsTM9zYW0Zp7L3w1
bSPuU/9t7XkFeN0vO9PIwb9eteFG4PEbGhIoiNPg6x9mI3kq2qmjvIVgiVY/htAS+7wc7tLevyrM
+n2l24+kYtR6U7n31ssAR3OOYXz1Uc1M3mVBOGYR00dNYisFzHVd95NLKEXxcOz5YSsZcfs2rSgg
+d/F5d8Rp20Kj1gC/msY8dPP+a3/s0X896/4fT0JbSqV2UaFPHHxr9oOD8vfZWnmkr+xxlyAVaA3
guBS3PLHeuLhA/f4J5g0ICvY1P7nemK5vwU0NLOJEDxgwBX/99YT5xeG6E+ADEzjrmOxqlkOLwhO
GDzkP28MOPobY9sQHZ1aq3sZDccn9rN8BLNVMtgy2jgzTBSP6oIymIJz3yug8mPRPqrGeGwJA+Ik
9LCqBGzFnWYwjktie8l+bAAKEOkz3gbfb7gvGkE/Y5D4Ga5dNtF3te8u9r3j5NKqmICXpn/E5xRY
N3T5iOZbj58D0cMgBGvv2bcrdQ5UJ/wigg7BsJf+91FX5NQShpo75sKC47Gauq79Rh+9Jizp11Vp
YoOZPTgPFuTM2M8Eh6CsdCx10pi9GDQRxw8EPidrgXWSV1itTn6zWM/OkvatpIXNbEhR0WcU7AML
KOwRHZaZItbonPlZshjGwILly7HdZo3bvBV1EnymVAEBMMCV3rdxx0h39KKgv2SSEQAKtdW8hB4T
QGNdBcK+BEO9MLtKCvb30aR9t99BfShwMCCIUEbXFJyfgfzNbGvwueAfPxQc++OJDMErHTcOm/A0
o/8PIiRFAHxYQ3FusbMfCmt6Lprc3hca+5sJWOBAEI5mhbZKs5d8zknFLeg47L3PjdOBkB2GF4Jj
NR77/s6uZmad9YjhZUy9Dz0nE47p6XVFRsb8EdL3bB/TWT5zQkCvDc3ixMPxPc2bLrbZ3D+uSI+b
ejWYJvKWGnRygqRS0773M38XWPWepyZp0PwZM/NXQ64XKhdeBwqFblbA8kBo9WtT9adqbOoDeVu1
9XN7C4+DucdCYaRSFNV27XpH516zkZZ8VsLIsXoZTYwO/JNiUu9ceZAiprDxNsifBrIIJSG9nWzl
MuDfHh262Nbx1ipsj1bIcY5SE4CjM0GPJxHZnQM9WbHvOuLoN3m+q+eV6bmBn2rt2+A9H6xxX41u
/k6icT7N3bLECkzcQ6oWZ1MX6U9aHZpb19CPrs5pvqyWci8Uma8azNsBN6u3GXLmEjQruFgR3GGn
IcMdWReyXddZ4Y4UH4fXzAj3ozf9bFyJmprRP5uwdmxkSuVmlMz5e2M7TTTiko/TtEP0EsxPmwYt
u681hl+Iv6TWxjI2DWwlgTU/mS72vq6k+blMjutaU8/aq3bjauMFZU0gws7FKWtdZtaKNk+bMeyP
YfUj+rw2pCkduenH1nPQ+IS8rkY5XHme5o4fuqDd2s5qfDV0ONIUSU20ywExQCjG77Uu4Ndm40Bu
a3ggCT35j6Uj1R1HFwb4bdLlNwqozs4mlxZfMvZ9ZJZD8dR7lY60MNcUH3BjneoBzxfPc81P48KS
K4Mp/TGUrR2JZBzvikki8lIRSQfmxXYYzPPySUhAiDj1neU06LwGskMENdxjYc5nhiuemKOWV3sp
gpn0l9kitmzSKVE77NpDBvO4J7YbTGFLNYlgNHVjBW7/ykF5IhmaORlFP2MlrrI6rPZTHqiIubi1
FxaFh62cjv5SYFbKGlaJmQxrI1Ijhio7YP3CHcN0244TDATAxhISGMH6fTad8NnPFbOEwnjjlnrB
eiHIGUvS5jgzSFY60MJQ2rvSKq5qI/9k4NFtQSXnz1VXUGXgKTc/W90ywjqgFGS7mpV51+KZa0tL
BoijdnitnLI5maHewWIYr8chVw+OHRqP0un9N6ty8y01sS3jy5BhHVBebuNptiyQffW8YyKOXp0w
JNOJ7rep1voGf3QT830ozjHEsu8ud+0lEHlfraO9S1rkf4PgL0H08Q5ZNQfa3WN1FWTlEog2PEvW
ALOghxvJXl4JUboHZ6zCj85C4sPYMm16SZ+OHejvHiycTS6EEePePDolDG45sHXdaFPpr6RxnLgw
tHFFs1y2C8bB3NZiDWPVzFh90yDdJY7JehAsN/kUyNvVEON5ycn918vgb3MwmZu5L7i1fGuIQcOk
+ywksCMmK4jCohg2HOT2Cx4p1mB9DgdWLaIuy4YAD1einusj9CMGjlPnblJE7wEaGrYukkZoHvIS
EA0PLdYlY2nDY8dYNMJcKjAphNXHohrss7g0o8E0jC2yHXYGOETJJgys/inMi3BLI9GybTldbnvd
Hpn2QRw31Nfc+t+q3G/iNZyGnegVFLElhNmOXTnO8L7thqGaT4ZsP0e5nkuytVfmXNL9M5FHL+nn
vrXYmVzTSNTgKV5QCXMtjitwzAOe3BBwEtQnEpg5NGqJlhHwOw+yKDdWJVnvWu/HujJwq4NLqFXq
H1RSyytXJVQnLnWJIwtvGk4e85proMcgjxt4kvKLWpBwN6v1R6r4rpJiUNRODBbM4Exy0GNxcRGF
jGaVOdG6q7u7RFpJlI3QsyYnGHm4cwDxREonifulwvYnBa3lrnTZMIyz81J1A05Y2bfPZcC3WjsH
cwmz3K9ucEgo9PSAMuSuNn4/ZXeNWxb3odWoowis9RoCDm+DL38MVSK2LKYNq3Y+vlAWywND25cp
Gh71dKbsaA5Y1728fLdqbZHqpyNycCpvVzBOBlFi1Lu+APlsmWSO9II8OdrLe5/h6RtxKDAh4zVM
mZS4p9vguRfWeiftvuENXVFfKA7HZcgbpnj5o5bFK7e91Gc91cFT6+NmIVdMrnZIjl4JXdsow/R+
6MvpzqVh99UvvEcOcROH5fTGsZr+YAP9JBKeFSqmEYU3mly18y105RTNrtcR2Q1iZ008K2oZmfNJ
jxN2pZYerdwbqdtKG+vTxSOAx5vPmdmE2dyOJikesc7o47Mb/JhkL15hP30UKtG3K4pkEV98g4eC
vOGtW3ljjMcICdcRCq8iBrAotFBvNpiauSJE9dAGofswEQcTlAmPBlsMC6636/TlF476wLncqCmf
KYBhEo1+5+2VMl1umZpqI6r+wpXidJCB2yW1Hyk8HiJfi2s6OIvvvReK9zptT5QMJuu2aLI0alP7
s/R697GmD+DDTAucVits0QvPfJiP6sJX2eQyKwaaBJb5QzDv3TLd6h/XqaP6jMXzPGYG07rau1u9
+ooxsga2weNgPgBOK7icvdH/TFKfYbnV+7ehdvMXCBMOrInc3WIDKGMKCzjbNcwUtl3rVzHOiOah
sx2AB0TJ+5tZYonfiKRBRNdqSLdrF+iKI2dP/D7Iy33KZG6X+BO0FN+0YsXr2uvOM/bAXZJq3/pl
/sJqJl94xA3fy2kWj7LQyUEUfn4U7sSONyFi1NYjzkmSXSChKJwsn1MrLxZqlon1kZHvCK5Z3BDw
PchQwgphugi+I6MxQOIkrmFojKmImdF095pc3Aum6uHTVdN4YNQVEjMq9C3Ftt23xnbxAPt9U2hm
Et4WzyOsTnZX6zMo4wqvOcMjUAMmK2zEOWkIt1Sn2x5agyI5Q1xTS1jfzqXyISm9b1MSrN53mt3z
dTsGM0/WABgLN2JHOm/BgJbGjnS8G8+W2evoU9PBZmV4LNcava7PauNc1nP+mmC93HVJUDnbap3L
4zDUAsm4SLHhO5LIfV9N1YsA8nA/8l8Pc8Xy2lXhIxV1ZOMAnLzXVd1gTvGLnafxxnY1W9KyHhnM
agDMT7gRMIETStlPQSVppezb3VLhaGzStoyUsZb9xu2Uu5vMerovsZR2UGCIFBVjLuOxMPFA1+uA
nFEwvPPn9M5SdrI8BH7RNbdzmhFmDNNZtJgRIaRabBaAwIfLpeNoICvTf7LdzIMhpde8nZxHJHIy
jSxjC4GRrj8UYVaFm6mg1uyqnB16y/vCJDCp8OPZfcY6OmOlZ+vk2QedEQS2KHQibUgPgX/AgKPM
d3hTyRbOdJJe5+OYgwJYRFfEdLldwHIYJGjH8zEAZLprrkdtqMNAD97D3GrOAhSWMSf3gM7AOTwh
o6hjxzUJnM7Orwkt5VFiDf5X1TXOh6glkxCoHrrYz5V66mWY5K8mfPGoIqJ11tyPTOnX1d16fRD8
bAKVHryhYgtuapBNLTyQ57WYRJwjmjtx2Jdy11v9+ibYWF9NC17SkvMxk2CxBysynFar1fg8cvU9
m53qYZpMSN9kkyKrctTWJTnGBC+rKB+VPfMOQSeiaC9VYXK8GG4LMqVOe6H6mcQW2UXG0GlDwsBm
Eac869icU0YwE7mKh9I/Gqoetw0H9wed5uGuAzf45jozc1bZUYwhWZmgwgeXrGq2z1N7pCHeDa5p
+qZYm+rg6b0MjXGPAfzWnrPwU9Td7cgr2XQa/o6yrOUAwqBlKzWk1xDtg5keZ2eKuW7anQpnN/5l
Wqu5KMXGLPIsnpIqo1mPx3gyo9P17Ok3TehXByMnC2KQ1sNPRNQPbU0zHxTGQpEahNMmIZRQ4wm7
1fa6PChKXi8+zjNpuZp6LWCY7MCNMi4XoqgK9teZLoichbYljEXbOlR6Fn7GjOQKMgJvHY0fndQj
D51puc+0CG/GOaUerM69g/RyN7ZKwYLZN80pF+ZdEOAX6vseNXVQ6Vvv18W2ZiSFJGm2wQ2hWGIX
lZAYmxOyFyUmql9EMBtqE3ESYiqvtJW8trZPcGEM9o4L5g+40vgpZh6s5KPW41Ix7TE5eNLG4DJL
Q0AsIxLiqA9+Sh/mWr7BAshiOh2YRtfzdxVwiEipRl5bSgDL730xXq63QTTxoGuiA5iuYo/gPyS+
MDkVOX0rssdQXmGJgzK5mCK6GMHKuMN2iDtkbq9JPdZcLb2/B0MIXYuykesyTeUd+oMQ28GZhyAe
lRhves1+G+iktW0v8g/wLHUM27YERDRCZSkC8XOqOaIxhR4PmJ2H7WS01j0EJBQB1TF/n/XJBy+E
dVj6uMeGbZYt4JCUR2jaMki6+dV4T8aGjHTevnNeYyuGCYD6tbWojkT4RhmlTINfRp1QaDlOZ5vG
lme2Uk/M3y9Zdu1fZZ49Re28snFsMqpA15YqwMHotvU4/MCbe57MxaZ/2nqusVtHxegQSvA6aqBp
FX8BFEmmre1qmJjBGFn0Sz/hYnc37iqtq3rJrsn/vmK96w9Lnz12nvlls5LupoXdUZ0q6hwb69XO
zPJIL4jziREGSCqebfoCq+cZgt6XUpWx7iBPeXqD6sHme1YYGVeveggWLRhApfDCtAqSH6MY5Mig
dSTaEy7TQ2uaKxbqIEmQnfQ07dwemxOb/8rkjDO7eyan4QNRfZc8le02+I7GxB8gjVwy4Mul9UbI
7kRLEAOvnGLPJU0uvnQFAKtw6RvBA52ChzVIoRCXw7tprWUdj0FJ8HwQmSIW6wVH/sA/yTr4slLr
wSkaFo8gz06wpuRpcXm4mvb0gWNhaPcM7lMsUST4fB88qVvOpzX3SfAJ87njkRSVODI2g3XRAlWd
Rks4+HgCSFxxT7DLy013b7nshDG+/sopdeN0KJrh4I/tjzQgickFH5W5ErgNjXMS9ux1KFOKi9Y/
YY7TO5qi/NiXXnlSLvJfG2K/rNnqU7BAuiJx2usuHe/Dov8UTEm2Q0LeN5zr+9ZR9RZhxsfPR+7J
N4A7cHZBQIQKdztZzktuOv2VTgy1naDIRSlU7n0mFGVTDeHqueBw1rlDf6zhG6NcANQg7vippiS8
HwyBDJdMOVVIyw+ZmihnerF3vsRMU8C7SFyCg1OAe8CbF5zmxdBMP93eHx9Z+wDvey5lnaIdTl2L
GCXMIjJJuZ3LLiCvb+e5BUJMStrO6jNGoh6jhu0Q084nyGF+alZwAUQmTxSTRma4NjtJTP+tN5vm
1WVOXV16DNcPaWXJHJmLNN4ar+pucXHCu+OBB73I9+dDIKlj9yVHJD+kynxLp+ipM5w0tquFkExS
cmulqnojXxncNjQYnVedDR9G7n2lnYlLIMwMHD/I0PfrTFzVzf2pJrorpm/B7A53lpU56w3cBQgD
kEibPSpolW1CbStwBaG3u+AE/K0n83mrLEbZUb4uapcr+twdkRg3Zt65Y+TyMDjkyfi0pO43dgju
Y5ukzS5tF33gPlhi+EQmh6vgecI9tKF013pMRYl5J7NvA0hb1NLXRkSkED8ws7xL4g2g+NVksam5
Lmuk1Zbp7hV7CD3vUq9rME7n3nByatYf7GYk2vZpgg0YkajEwoIWxp6m8kxqhVa6hW1ML27ke033
3CmnvWrbICCXRTcXfZoCjW+5+GUW1oVXrwGJdAPLWTyNfANvG7TD+jJcbG3cxpgKbQRqZl01dBa8
b8O1z9VDaEtNGsNsDTBBKUVfDwLPRndDyo5pmbBFWbqCe6EvOyFWmdcKa98PhzwGt/ZQ6IMKAMC2
xL/YtDIjpX3XAKMIBWd+dAelEZ+ExDDGMSzgkzDCZwi06aebpQU5jxQ83BZNbXlY5DhLqFNVDngZ
bgIbeg7eM+GqiC1opbajrb4mttdM89r7i/OP4K8nTgrQwNZVw7SH2tbez+lovRQFO3DKVFmw1841
7/q2MQn6k4UjX93xPGUta+6AeIwvhpMPJztr0WUqAndnetj0i1SGuBGUeO0tsqchh9fevu8xLjyA
p+H40plJeAW6w3rHniFPEEHGR8uyEUPx/HKXNv+PvXPZjtvItu2v1Lh9eCAQeDZuJ9+ZJJNkiqIo
dTBoysT7DQQC+Po7IVl1JMoln7ptV8NlS0olEwlE7Nh7rblKltVV4fglKKcujjeJ02HG9EYGkCjM
6AquJLym9EyHv2c/CVowkqmwMPn27ujwTRfpNuzbKN3orLubo47kV3datPq0oR7Q1Uan1GapJHFh
es3xtHxEmU6hhhUF5S8NJvgQAbKvKE2aD4PrAAMx2HWjymYz45bacNhJtmYECLw2Rt9c0Rq9akPt
HdVo9tu6c7PrWpTEQCEsMq+ruRrfA95BI044cLHBGm+vXaDoLCe9cU9wVX12ptE/FLGItp2a6/3Y
mfZa1ujIGKaO/Y2fF/KJ7q3BJjbWDyb13TV0HKzhPdU/7UyPLo0RX6Y4VYDNIkXTvkrXUd0VN0Mf
vBhKCFRQRXhwY6ffGKQQAhbg0ZCpFW+TRh6rWPh3pXY1gDhHnVzDm8eVG+YbACfEEVMxruk3t6cO
tgauWS+7Jjbo99LXArzHZO4YlD5HUxGvEYpzMvBT2ooiLOiVtdOjkchw57Ui3tbWLMFs2P4+VnW3
Vu1kHbOuomdTZSXkucCfN7HUYuMK04PiWFHLmnP7MUF2vOaoMB8ghbsYnbCg3vkeYXYUenm+KR1L
5RftxMlmitlsUgcaAv0slV0bmJJGh/ENPVYCQKcq3okMr1RQzWcnm/l1M7zvcKrdjj0EUEtlj0Fn
PcmIxdoxym1iy5mMFP0coOhZBREDj3GMo01n5LjAPaPaWSKDHICkyo7Sy+yDVakI11zDQphJ5J5v
CS6A4Zw2H+quSe/caDiEhnWgsOr3arbVJ0MzBrGk8QSAwdyZMxWyJmNtX5MbvNL+8Fyg1rwfh+ae
cFwMUWblL/rE5SAY58atT5DuOjSt+NiUpgUa3PgMWm+4weEC94j1f0UWHIxMdD1P/eigLSv0tapr
fWzz5sM/Y+v/zdja4qDIzPg/j63Pf4z/Ov3Rdn9M38+u/3zZNy2MRAtDuxEkp4RJttDIvs2uPec3
XE5UvDCfTVyB/M6fo2uScpGXedBJnMDyvg68/0cKs/irkI+ga2DaTIjNfyGFkfINJZrEGySlDks2
s3OPZJ83Whg6TCUIMKc9BIonmjg92W9RmbXZFemrzpU2UXS+i2honioziYejSsr+Pq4NVSCkoNjh
3K0gW6BORUIbDhIEDQMOq9bROgIPlNyjsDbxqTLFioImXc/aGM8R+hu5AcsRPmirdJ7cUj3nsHcj
/qoH1YTOuz6r5vuuDR4g8GLhLTE2rCo35yRDHCIEWxhqN8O4eKn81BeXDoM7W3pvPgVEMJKQaSTW
pSzH7NS1+EGrwsffsIgRR9fjvOt4+lxwtNwIQ4hLOFvoTjD9v3ZWC1egrgjaXqkCnTnJmAV4Ep1h
11KQReaxo6Fgd4w2lgv1JfWo9eLf+f4TaP8drx6Fao8O8lpOHUgWKiqh4TgzX1/DUOOFnTMCUrbK
xYLrFkERfFAp8e5sXL755BUYz9xa0ZWzAowvMFQP0FzbozIG3l3gLmMgimy4S/qAyFGgqjR6AuYi
+AcsjBadnPFV+8MSrRAZH4dBIiPvOfOs3EGK69bvAnM/OiJ/nLIcZ7eKBvHUFkvcbqbRvKNHjfWt
X+fG6xyPwVrLJjxlsY4/G3lHmiHIjP2Xn69bfiru7BZuD/88WniOy1XJcIrSDIfPzmyHcg+1VYHm
qJHUVFxkRkT9ljTgxYrWJ9Z15AuiFlZDn2XjNdkCcXwIc5HNBxc1mtzFDsGqezlLrLBpiNKpNKrs
NNvVUbV2T9hnqhj1JpH1RHXiU+DWkw9Zg7YVkMuCewG0yykdum7DuwM16Ton2doetDriavPHlsTd
d3HdTk9NHXfXPkyTh3RWaG+l1bobUsTkiWFydBU2oKrTCaoWAkTnyqj5sslox64NSjVZK+A163R2
GEQiVyj3aFmwRDkN6Bj4aO6CaYJ7WVI7+XYX7PPckq8jB28E4W3BcFVI4uw2kQX+dRekZh+fs7zi
7wqGnKlp5VrMOW2JnpjWR1t56ban/3UJi2C6SeaRCpF0483cmyFjeiKwmZ6M/p6AeMb6eSwf88HP
9oVPOhRwzwVoovuk8PeZMLt3fWU/OX1O19MxP7DxT7SAVEMPNQWJQq4mTaQiCud+3aEc3SX+DIrM
s+o10lq0yqGPvBoxbgtSIK/uOncu7jtD4k+cJgxOiS1OQ1QG1MtNtC3wDC/AmX5rIU45YQRZhlNY
Q9Zj7sj3WrjmyikmumRhCytshFm+sruMB8MqE24q6Ky7sldkHVc9kBAzTEk0GTsDzIrsbjjKgxT2
ZcYAd3TueicCJRQrCn3T68xle8zDdOUbgX2dk1FBu0Wb3pOajeQmFCJ6mdo0xYhLzjLt7M1cL65M
UmlGSCEVoJ4JZUO5NnnN80w8tr8x0hZYU1QVzTvOyHUKTp5KaIgVEDwjK+f3jDNo1adNfKZKb0+z
WVdEBzvUz41nUrVSrnOEiNBabEsqN9QheQ9XgLxN2DclIvaRhUKshnw0N8p1pytG6NV9TADsh4DP
L4mzmHV6rIvK6+h+Re1pwJOxDOCXIAzGsGDzlnSOFcdeXLOxV5EeU9btus2t+MHF2zqvdY6B02qL
9EohmJuo3BK6eqkFFUm6VHJtoDRn9Igp2VQ8k8+CECehuKvCxjtX02A8IGhn8R8spvbBqFMgI2Xe
w6X15/aOnBkAXCVhdNXIYg5rllWpc4fw45eVpcn68DXQRXbKK55Q0r9puH15imqXRUvDdn5sx8Lf
uJz+TUZ6cDpWOHTxtVRuudcRy3Nd0n3lcRitC7xg3gjbit5g5+AnyZeZ7GiOCpD8aATlmd1+OsNG
qSZEHTMB0wPq4hapwtckxX8kxH8jIbYWXe+vyqWbquyfyx9kw3++5s9aCe/5bybDQ2AcFDiCIK1/
10pCkI5BsWJKl3oZ2waa3m/FEvkbpslvkcLGrApTwL91frZNHWU7ePIscjBc1xb/TbGEQvhHrbzp
uCaS3UW166A0RD74o8yvprlphZD9b70aDjPUhoJ5HsljzpphfTYdPPLRS5gbUZxCJZb1TWTlBv22
KP7cMUKrMGAXrJ4Enjf6GDP7LRn1eO7LzNRoW5QJ81e7qKfrCsBO/iGZabdV3Wx+TmWkWUaHjLG4
SQE0bUCkKblPDLd67/W9Zx27JlDqpGXSjjctJo9tTMwRgrLlbJFNbnZTM3xYiyHsV0BPrs1hqpNV
W/sRJIpypk09tZ/UYJFhTX/haCuNo3SitPqDLDo4EBPR7LvAR/O/xbwOXcR24+QmJyjriE/OOxjt
QJFSFSkUBwQf94pBk5UO1qaygg9jqeWeKW5Psz+qlp8KQNwH7cCGhvMFvI608Tig/XRYKG1CQHkR
Yb9B9pviE/VkS4dWlBaKYSAkHb6XECwFSxQ4pZU5D+IusRLnZKdzd9fVY+pejcJzXrgi01XWBWnY
PsxuPR/JBu8M+8prkdtt01asant0db1v/TrOt5a2xpsqtfPEzhdsjRBmuYMxWDBbGu047uUhxSRZ
NRqSY60G7wr/OknI81p06EP1FqnBkMaK02RLGPNRFPAWFbbBgO4W4T3ki/hf0rA8r6brgzFISYvK
tZv0HYQsQ38m4qFOXwNAaa+Ix9gZz1bZOYV454EdY96JFKVD5B16T/VIhDT6w0Bdj5iKTi7tfi5U
m4UxjeshPSbgg+QWZdo9KQvt1kyoYsM4G2+7CWKgmSQptyX8pM1Us8MalhAnP0UQFbEt7OYkyfZZ
Fd8KVFOXnnZ0AhQstzZJgKVwnTd9hEax92yqEq722kp9Rt2E4/bbXKLuLDg07HDpdc+VVecvVt8I
iUeoc8EdNYs/3Q99KF992oIpZTZ56iSlki2jHEsU3c+DXQ6f4tRW/Xrm0H1ncAVRv9l19ClqbfMq
Su1iB+vY2Ctpw8rl7W6gA9R7thB9X1a9WHBZfnqLKsmDNOJTSWSWmV1hcWvGFY1IgFOZWy6dHTI5
UHOgT+pz+9qlw3ECyQ8uJjXxbQ5gyjlpAGmAuzig83BjEmoY87jXpud1TCmz8FPcxsGOelLtIR/Z
26yhMhqEV78nMe7sINC9X+7sW7pR5oZjIFzdRtzMKfQYCO792pdMo0kdIFDFlrX5WonJvEWhGD1F
dULWdmMTz04dduhyuC5T4kZ7VK3ZnqzecAX5sftsoQrZM5QJ3kW2gUpK+tY1M6PH2TJvS5ky6YFH
eE3bxMGs1NCSTrvxg9NUS5WX6RE6pbQ+FqgvQDtPM+OJMTflxbXsAX95J18Nz4cg13M1dtmc9seh
z19colTBOqOY2RgDqqtVxjTkXS1HTbPIU9WL7U/RA3y7iDle1jq/IzpI9iUVOH9HbRyReZAmL2sC
hwaVH0cTjmOmIQr7aUqfT5EtJ8vIPyCcCVcjg1rm6y5kJ+o6dNQewsMrEcTDA/s98Byuz0Onm3tu
axiH1nQdjMyfnSwMDoYXM8L1JfMNvzWIZg/s3P+s3TK+C3I/OSj0d58RFQeb3ISDv6rJ2nK3U2Wb
WATEMXTTS1+0/nEiyGKTcXe/E0ZVFxhJJwsHsgzRGoMLMhlCTdoBIOx5TXJOyUpd4dGWn1AHMXdm
pLbRo7BpXpquw9BgRHQm6vlCfzqhom7HD3DjsLDJtLqx8prYG+XpF0OXYEwt2b9G2QgSyGnmbZXH
DLyxWzxZ8HpvZ0E2kdL+fDeV9DRFDjLcgj11FRqj+Q676JytcaFmza6qOhqRVWM++/XQbhhVVpfU
pgqFWBpD+E4HY2XjqXwFSGUeSlV6HyXxEMZm5tbaziw567iflLvyo3hkvMvK74+M2jxfuTdWM0eo
nAyJUVRY76MGKIE/OvGpCtr6rhEwqfoGBfd2CuLpj2RqkfICcU3XaMrjTWdOOZEXAkRfqBt3JQQW
zRkZ8LC2reYPGrNyi+MuWEnHqm44TqVrg7Hj9VxWiDg40OM9D24aZTn0yKckDo/SNbKb2BTNhrNH
+invlPWQdnl949X+9M4cRYe9nsPQxQ40pDYfw3+FrIUeQ2iPa0W38bZVdfahwPr9IfLL9g5iWfhY
Z2FyNegGDi7Ak/eitadtbFbpfoJgtA2nvoFVUHYxDdYGHB8ZH2Z/LPOZGjTyhveIAZHzJXZXbgx8
5WvXQUhI2I55tyjC5NYj7OZUjgYIyCIbpyuHIKlsnbRIjvzKllzHfnyyNegxR8FFhgOM+Re073wS
iXBfLP5+Y12FZXIX9YRjuKkZfJhmBxivPbPR+yUpT6su6pIdbAT3GlFs/RB6iimm4bTMcjjQJfbG
H/X10FTtDgIJ+oF/eon/q14idjaqxf/cS7zE1ec//nXs8ufy8w/dxK8v/NZNFL9h02RujHnOZdKH
ceXf3UTxG4FHtkmU2pvIOYuiGsmL72LvxHC39Bn/bCbSZ8SZ86XSXtqP/00j0Vwahd9ZYGzygn2J
q46fgZ+LbOofa+MGeBdSLezdhsdKlk5x9Q6WXZ9sIz8otonlPI2FUjeE4TCzHeqnPHKMoznCuqgG
vM3FHGeburMLGoZFeZcP5qMTmrCE6xwIfmWPZJovmKRWeAhF8W/vUmLNmCV555qj3srSguTLsX0O
ZHGDtu5GGuMeUEW46Vv098NYoP5Qg08LJXkdzCE5F1zHdePVRKaWFQ+uwfxAOxbZceZ8VQXmnSs6
uQra8bnSTCNp6W0nG1hQ2yevHZifDb63aetV/tmTGqm6h8YwKl+DDDaDUJeQwQVdOcDwxHOysd7Z
SP1M2KaMO42VjpPnqcaCUMEbcHoOwUq8VJ771EzdDnVyvm7B2H6g83SA7M+s0OyCbdURF1TCnRa9
fMpU/uyRmLozo/FittnNcgX6YgDkk+Wvac0MtqPG2skcboosxgzVOb4hSAQPkRwvPnOhNSaBiIFB
8EJzJdiL2D5EETXzYFXHOSdV2hg7Loxpwl5MTlY8WLAN9IMbT5extp9imZ0inT+3TUpzwDl7sWSY
4trd1uYDMdnDvTDd2TnfFR4DCMJMAw17aeDhHtFgaVfU9PSKKy4U2EzKGSaRiL5NplfZwlQ1ljR7
RKbbyFiuZVw8DwJsqTnN8LfHalov74WxYkIJP98xX7vrrXE/xPOV8KOFzWhe1R7xZCqLX2XOH3NE
cpNl+sriyzn4VQBvkbhSSsvpcQ77EP6sm1PlkvpA8gUt4MRPN0jV5+sW1Es1zY+t3YSr2NEPhels
9FQiyIrbfhNWyXOpxmCbW/rFr+YrRcgobFmMGFnjPSXa/N1v5G0wktbrEu45gQednaFFta4eZlgt
CaUgN6o8EMmIR5NAhzX6KziocMncakIaBgF7jXFWngKPO0HPfY8fq4D405mPZSReAslgesHnkwqR
n4SnHpp2eLB1/lqYEGEosDhQFfpBhkANsgSCS25V7OuuEa+FSOiOLtddlO4Zw+pT1ZQoLG2Hhq/t
7frldXzOVayheo3SfYJ8NR2gb84wlekKW0b9KQ2h5nppPG1aI1T30uW2y3XEJL4B5T4FyMkasOwQ
WRx17AqUMVoZ5ETFUw54tC4Iuqon6CK5OhUxwGPLyOVLL7pPk2rda+FndcRdUyWNvWmzGHdrQH92
A2htfA69ikIEBGTu7lO7KR9R2z1ikHFRTtJxTYCPgluNwzO5Yp9aSbc20/lWx+6EzyDZ1P3UAl7U
MenDrgsCKtEtJ5yqp0HvNefciO9KqHJbNubHyhDRglN0sGY4z7qcYN6XFrRmoli2cMdWcMHTVb3I
LYpFuYloPbwTPQfYqOT2n1PrBTdcDVaioC+lzLWrLYFnBHcLP0W4GggDw8EjzI22bP/WNr1hry1u
uinznjzDJW2sGY+hal+Nsb2y3eyr//0rdvBPr/S/0DTdVcxpuv/7fxaswI+rOL0XXNY2j77nIB36
cRUHOmAP2H4qvCJwkeXQ9Mx99Tlxmps5FO7quy3uL96NneendwvY0CTWL2ZP7pvhE2rIoXQnj0Yq
j/qmFKjaSITnCMOC/ut3euu39nGV07TxeDMTJ+iX3es7bMSIAEemdFCxK2XPQchquCzHKWX8Ggp9
Vx35N3P36/dcTJ9vrqXksOVx4mK8xv//eC0jWQax30EBmsCx4glQD6B1c0pXBssGHJHl8+Y5Z7yO
1e3Xby3plP383gG9Gc+D/ubZb/zlnOrHGd9jeegK5HQpA7A7vEDxslxcAQ/NDmagX8YOUHY20jdK
EQpCVWZIBwblZfGQR+V8NUT0VGfpHIKgQNFDkJbljzC7Wb5Jm0aUA9ikqdKb0m13haMuuogeTScm
ZFDbZ5jGBmSjKtiTMFt/jOjPIYFhefj1J/2LWwhUhGk5whVgIq03t5CFeLOoMMYfUP/v7Mq8M4P5
jtFd8zdXdOk9/nRFbZp/PtNSgqeWLuP3Ft9gFD7queVeDXL72JHgPYnE3pqoOFalG6Qb3CM3PXqM
+1xNd7giivsYGvDanqPXRrEuL6UKXfaMcYi+ijABwGkcHozAPctW7Ul7pTNXJwVjU2r7Rlv6KXKs
aV9EVr3VycTBw2wJqs70o27Z9qHd2Kc+8YvtiDXjyi6T1zDB1lJmOd8iKrA9mGbMW/OjHw27ue/Y
vGt5iCfnEMdYjiICQDDN6asMLhTazfkOMqNcWRZ/d+Abn1qHiYAnqLF+/YX9xQoj7YUAQcixZzlv
B84z4grYvbI8zCPUQsoJzcrm1BZD21Eefv1eSz/27RPoQK7m2/K8ANzDj99Za2EwRmRSHpxMXewu
OWHA/psF88uT9OY9PFdwtlr+GdAV/vE9kphBRm6a5aFCfMNcFpkkoxngMNZLgosNnwgDVMs+4O04
I2YkAKrMT4YOPwCG+x1YfonbS+F8y1N5INebTTZgdaqn4oa51OvsjpwLwyQ7gG6aV6kjR0Ruc3ed
Jy5S0/q93/PL6O+jI+LWaZ0jOuL8jN2NMVW9s1rEfWQkWvtB1/3KtJJXp+QWbJLsBnHZKXOiaRll
UqCij9eOqNdlGTPSNPtLVSIjQifzdTzyH3eYxfn/9kvhuwhsn4Rq07bfol1Lq+51NRXlQeQcFFRM
/HnSD1TwRsZnjrkC6BDTTT7558JxGZJ2LQ05Udz2KfdymMFXpN+5G0PETL0rqg04xKcxrSXZRR6z
L+WeiTlzwVM7aL6sdOO0rEQ1Q6iNl06PNFZfUGuvQMy+05LqkABj+H6GJnHZfJwoxMA6x/UekNM+
qMdL5Lh40VruT7teXM+uwlxt0MopwjxY1LaPQd2qm1/fuH/xkLBnLP8TEvnIF2jP99tVhKWoH1V5
GP1yQ4mDjnbkx7GZZIZ19DffiBBv5hqc3difTMmyRqfa/+mZbGw5Sfp9INmZX2/h/IOND9NTyE4V
CL4fxG7Y+IGLMoZjmUpTKsAov3EzCkBw8y7yvoAgiEI124Ah8CrJ8WeUkw/FWVwbyr/NAyKcYvR9
6PaRf8m6ewETcNH5dFV4y2bMbRbJ7Bn/MVUq8+50hho3lJsUf/+achXURwrlhK/0y/FytrVEQsgf
DMildA20Zik+qF0dDj3U7D4+al/ffTkEhSWZKyN6EuzO40PSc5D0sXyv54ajnjOPhL3RpJxsWoNS
PVgZzl4jOdGbbFaCoK+kxBu6/ItR8CuhWm7IelA7YbfddnmMOu1gYRkf3Gg5QDiZwfMEvztvqJYY
Ut9oIlQ2Xs2fbg3nqUE5vi5JKbsOHP3Sgs4cBy5wmic3ieTMEmhKcTu3n5gkXEZpE6mHkUCVxclQ
6WkuoBq3EQ8wRJMTh+J9EbKzJJHixuTpcJEV5sL5FHdjecqEc1a0uhEzTOvlYIRgjMDWpq2ufCp7
xs1PFuPcv9mP3b94vKl1EDYxLeOOehs7n0+0nC3bKQ6dN72Unbp0Jvue4piFCTHdLPXXl6N2tQgU
+oBK78szX8b9bhqBwTcpL2sKzM59Sex1Fmx81UoPWh6hT5bll+jNh+mAyN7ggJYB6oswPzdlHr00
eDRv6jaIocCzL+KCDq5L1vL17DFLMVhj0n56VJJyy2yxBLpmMqx1hE8l96msIw6G7IcxhlRCUymz
vZQOs2IFba3+0vocSZFk3KhhuNjOkOyr3NXbpM2AyI3zVRGPD5gBEZviSyQ5fHpxO4iOcO8vHqeD
Q5a4Z8UmwiFzeJCuvluq+R6Hzdf99Z/x89+NnyXHiO9W2Z8QVuc/1PPnH6fPX1/ybfosmD7DlmHB
Reb6FU31jTKzlJXfxs2000wPxT4TEJZLT1D2f9PmOfyWg4XCRPjCOvrfafOE9abkZNYM7QaCDUcX
un0/MeDi3taqbGt544Wd9zghd2MOIQyyk7GMoYllNdjoujpBqmvEqhINTneU0RSEfr4frK65poU2
WE9OPGesUXlLtLtmZra26gYj40D7+hFdkXrqs6Ld9NE0r+J6svQ6UL6KVnWPfRRoYKn2KLTFZcA8
/bFUobqd2wCrg2+Uy2Rtbtl1gU6Mu4SMpoPXpsQItBlIBo8Q8b0b8CNiE0jRskfIrcFSTVLf2dPk
ubtYAyQ/wKabMQBnqfl7CjNlWhFjkn1uYHHeJpGjcGKPhb4NQyYYK7gOfPaiLlgEUxK/vGM1tTZD
S0GFsydtgt+VHfXkafCjCfq300zHyChZeopi0tDU+QEpl5GTkefWFIW8t4iUuQ/sNLrMaaZumxy2
Ycr+uxnjgrZ52FVqn46tdyiCvGzWqV3NEVHWPSR5f8jo5dvYYOsbmVnvIez03ozFJTShaB1C4SQD
a7QVSW8PozCLUEzTXuR0j66wNNfYgvRZ4pEpxZrhinG0cZWwTtURIK81h3G/LLNtwlEq1x+6GuKN
vKgMakCLSgFHr4NRQ9NjUnYQbuE2tgHqRZTru9pntL8aWKDdiCzAOA2ZQE7GjnmX6Ma10/WSeTrD
N6+/7kxDoT9rTNerDmY3ivDKaklw2TR2p5Ybx5sPaI0cWNma3gAJKvRX1anvh6E2z2Iq0h6HYdt1
MIUKtEcWgbZPEVIBa/6ok3wq28/92PRoEJFmz3l4/+Up/mfB+9sFTywcqv88UljkyTd/6OSl+mGg
QJOQl31b9EzJmkX0rgykyYjiu4GCMBHWAKmjM4MM2XMditQ/10Dp8SK0xFSNyxL1Bcj1bQ1EugzP
zvUhV3pUrpyX/ouxgvPmBGcGAW/vQOtxWE0D2kQ/nq4a9BiYn8v0uiUvZHq20QNAQ7K9npM3aHDE
hXJs8VMfEnLEC+NYWXGN2StwOKhXIxG7QGSnzy00XvrBJuYI/cV7rUvX+6Npc+gkrue2c3PAdvbF
qZ3l42S/A3oKdylaoYixGLHnUPtR0sE68RxEv7iQglszMXrvXlWDIu+5xkZRT+9kSWYwHV7Vmx9z
OdJyXs22gX104VdRw8HDAwbhewaOBCbutLGj2cl0fM0xsKn9d7HlUWpD52LSQgwQZsOZnNSyLoDj
g0IVW5+0idz8kDRePw/7sla+VRCbXBBOnYgkIybHbF6wibU7r6mnO8fKS1gq04jdw3cnY/5UlwCG
vx5W/nkA//4BdDlJ/foB/IhU/s3jt7zof+Z5lAkWDDpwp3+O7f6sObzgN881LZuN/6uujTrjWwlC
nbE8FEgRPCF9d5m1fZvomUDv/r/Dz3+q5ZcS3gO362A38N23/Vmh3EaZZoTe2ifyg90qcm5lO9bn
OecY9d2lufvaMfll55n3Iuz3C4/PFuJtfw2XgDEDjiqPnhzFeVaTOKeoeh8nrsA14RXB9tfv91NH
2GG1o0zzFjUhLow3KwvibwsxgMn7FSJD9AJQLKSimMW517Y8ckaDjy61Lx5G2CUPv37zt64L31la
s66N68L1CJN600xsDBOzfEd6yMwR8HORFzAicqH860nMpNyGc/AYWubffeSfugq8K1eLUyP15M9g
3b5DcjX6HrEehdB3WR73nzlZJtimklbfRSb0vl9/zJ/e0BXcpLwdSBeq82UH+b5nmpq4tfG/BofY
CKsrj5qEqrVH6uhL45PkMP3x1++32HN+7C15DgrRxTYTcHF/asZNnaAADrU6DBXnbjRDYWchTkd6
siLBF9jANCTi7OelDUgsE5dGOeVjWdfeuI7dbMap6XXehfR3RjqtcsAS1os1QOhAP02W/zd3geP9
xc9Lx4Vn3+bb5GFftr/v+jwlbO4oLfrh4HgILB+MgrDvqy7KzWYXVUtkSROJ8YQEfcqjVdc74oFn
cLoYpMgdmNe57ilhYzjCEHeeI9kxfo3dnHupC63qqph9cdbQFeKTMi387ETPiHNBNmtBlq4zC4jp
HS0Zo00IC5us2d/VjhZnnIBGux3gyV/VxqQvoue0GgJJgGzVqsr53VeS0HG2Ta22ftZATWulo+9c
Vgl3k/gE6C3oA+MDEeBBeGlaJObHNkwbCYG9g/O1GOZjIf7gLsUEvWL6mGryAQJl3zNRG69LpoD4
dZyUESxyAxAPy0LQIoYBUa86fWeMFN9B1gAi0GjgPg6pRZhTa8qjC2CKRDyl6o9+IdWd2XUw04HN
sXxpMla2JH86z35r6guB7sJaFSqsQRD0+mI0hngALeFvkjlxoEk4Vnksp0BjI+7Zw1EXo78Ef64v
g93ySTGaoO2i1dWsgzIJHwnOzNrNgO7pOR+4jv6suG6tLR6GgC9t9pvgcWxm59k1XH1JIua4jRwd
uSOzqYeEpg0gPZ0K9eXrvRqnEVFTsUzG4SbJNGVIWi0UbIcPa01YLffdqHKQCO2UwROgS1wcs8Zo
8Ca7sFK/oNbiDzFz6Uf8i5B40PB5eltMNveJKl37uer8+mMc1Tz8iEmvg6kNHusc8O2KccLSrMP2
u7ZJHbpqzYmvf/HaQiec6nGjXItLytMNUpPDDGOLCjfUTnHyg5wIquU4IILGiV4vn3W0gxzhWIXC
d7n+tu6xqQ6+DdbM8zaMG+Ju3ZSBef7yZ/owJIxwMlPWjTk+GHzW+9jr1WaMgmA3NAs1BCEu1oA+
G+tD16VheEXADQRf1Y0DgYnaDy5ggAQK055aaiAEFo3euW/crnZWoIEs/Q6RtIn0KUT4pXY5gs8l
43qRpBJFDMhV9J7S+EaMMj51XZ8Y+8lkNLppImMKL3VdOjmmc8epV2U89OG1NQfTRzcg/FdNRgOD
FP1ncjfC4R85uakp3nclJ+kOiweIfpIV4L0p5FpmhmPEUQ7XuXsANhQvwx5YDmUw7QJyU5pFKz7K
BjqAn8qz41ekfYB1CINJX/XIqR9c0nbWcQ2VCSDRdLadzF1DBxVPnWk1mzqeXGbLWhCcG/eXkdl6
tOrx9n3q7QxJeCw7PDjEvusr5RnqYPskrzBjQGu9MrHT+vjePzcdyybmIu9UJrF7rs0yWGbV9nQN
R6ngC9d435huR4g867n/HDAWGXHTDlGy4eYOCMgC47cJbNWhY/e88FGWHT5vYdjvyYI0ELk1z6Xw
UqSTpmMfGthrCxJWctMB9OOWmjKn+xwL/mPFuqwvbHPcy1bItOLgGiG79NLdJKKg/ujgfXpcgsLT
JfAM3Y+jlL7gsQoflyS1c22L+uNEwGBONv34rCs/ekwdlwWzsjLyscz0Q9rOPFiYveQxNLtkn3hS
wl4JoN4EQVhu2EarB9cptmQtlJuOjxHthCx8h+SKGdXd3NXiU9EaxnycY3vwj7JoZ1Arou5QtrZi
aVpbUsKqVo67bUsGwUEdXo9GHd2RVhIfEU09eHEMYq9vn4F9Lqt/Ih5Jjxw2KUlSZw2DAxxpLZJT
UNXWp8EIh3GdxyO5VAFAUMwSGacbNR4diZBmI8dGrHkuPVofVevvAmxVt3qwNLNBAiaK2K83le4g
Pik6mRt7wqdEjsWCEi9kWJ4xRdu/50Ly52t2rPa9w2wl/D3wx6Rd/T/2zmNJcmPN0q8y1nvQ4A53
iMVsAqFT68rawLIUtNZ4+vmQZE2zireLl72+3NAosiIygHD84pzv1HUVlPvFLfEbyTDtycloU+OS
gUTPR5cT7big3P0wO255jFVB1klk4efmVzo4grRzf5ZB+8p2nFqk6lbI0kjUSyoGLmsNC2DHQkFx
WKgsbK4bt52ZgyXutTHNPBbAmeVbA8rcFzNLPEZeaBlxui3cNFifpvs2BLMQwg3nVsKOxqQjKsU1
TSxnaW1LzvTE488Z0KodoK96l+3IpSE21uMczHsyNNC4slWLibYKMboidIcdFHoEW7OuxbeXct43
Q3Oco4FzcNBhS9w7Y8JLr2LxlLglr5zwMMl9C0bwbWXx8rYe6+zgzDzHSwRlBytY1NuCzayHBckx
6UR90OyIkFtv/dHMotuVS4hUrRrVJYBhLLWZXgbEaEb7pQC7hnfcargjJHKiN4ZX020bg4bbQh4F
qjPX6IbXWFiHioEZIjqZ97clCpZjhzpKqCQCw+Dx5TSc9nXWNMdh7qfbbqD2zdErAxbMSCSRo0Tg
ilA8V9OVsEMJgqvxytdR4qG8kXrgXcd5xe8K54iXLNgwOPeqrjIiduiSVQl8OQpX7x+QhcFxQFko
+9ynLUJ1Mh/nh8Ao9asdCQ7WuTGSy7FqwIySSpq0PDJE+DjSI5P3bmb2pVost+VcdMRDBiX1DBrI
+NY1tXeI+tGDt8W3WGxjw/Ge5QR2hi0rcwRWo514tJqax1OIjS/dN45KSZie4vUTrYk7Y5GDmNfv
KxfMat5wVD0E6xVNkPi/LX3OHZe1XEZDgIHddHIxG3OLn4WU8Mxl6PosjFnpFexLaflgW7HRPwz2
hITfj+EMRO59lroe+qS08haoZm5Yz/F+TgmKFk+JS7UcHqaxg0coKDdIfdO72FQBcYtZHkMHAV86
2rM85Bgax41Dpts5BUBybeXd4MdGhCIumhkO4406Z8lSXXH56/sS7Mwphaf4YTK8+Gx0KKqGNuLR
M7v5MZQgVuaJiPGsHzW/R23DeSXbyXS8CzW3gc9W5g7ca7y1EHvuhRkimGIxi9pgqk/l0EHX6DJx
XyiOGNwpHbML1JYgkqhIOjtPvxmxwuwwlMERig785q5G9sM3cCREvvhWNPU3I5tvvEmNJ+5rCoO+
NiE6ViZsy3kA+5j7djvnx6mHWURtHDxMdj/vEx6iW6yW425SCs1Up66gjhR3XG2ey8WUnXnyQXIA
QwOZiN24m9s7ZBxXPXTejcVHdWPOVfhUoRh7bUppXZcDuaO+FSInwVhwyBj8Al8E5i3uqfyKnURd
/w1vgmZR+G7MzSXOXfzPAE0C92gky1ccYVwQBeY63WvW9tE2703ojlQEMPoMnsDtZib/jRMkMjkh
eF5xGnbMpvtaEkplkZN51abAmvAPcNrEdsMduQxr6HIw4QK4ndMxYVVP2f03rfjadfzeoJ++/N//
AouPXIKGQzNYwHVL4s2PXQkBSYnHE686Vvq96McMRozSWvj+ul37S/fDC6FFYJZB269o3H58HS+I
uj4pO+JOC5vDuEfL9Fi3jZFt1CRKkoLX1uX9OPz16/6l9V9/wXVTY9OZkhHwU9dFS55htJgqqFOZ
/dYZeXPM2ymbANNGnF9lXsz3th2tOa/DWuX++tX/Kgtj3Q67AZujzZv4WWI3s6jNRmGXx5FMRVCr
biMf3fXUJQ+L076D2ruCrBvakrXyRgbI4f7+Fv4zsfvbiR1Luz9drb/uCHnYRv9n+5aW3U+bwvcf
/GNq59m/MUmx12tnaVr3dQX4fVNoskRcLy2KNKZ67wL971O7d58qgxDFd8pk/MNt+X1qp39Du4to
nh9z8apiPP0HQ3Pl/HiLob931nQsBliSMSGiNeaDfx4rMHaqWnty5OVCMR0uh7gN5y7Ai2luclBX
Br32rsqpEiDLk7O7QfC2vMKetYUvY3Fsh8q4ZO3V7+baII+G6sF3yqW9KkN0do3Vn916dLYAs+2L
si9IsCA12S+L0LhAkLb6KnP7AXHSxKPMg9zal4lxEFVdQuDkMW/jedzw54m9rOuYeMUhIFyh9gKf
9421RhOwEEdXNjXzGVYAOtk6uANNeDOhS3H4HFeTrDjWLUAGTA+p72T2WYBeCnrUAhQXX3otiINL
sLAjrUr8xirmKxJhw91ItPE0mIzI8bjXGXkzQZKgxzaX5aDXJM0ilAeWhcWLNw/Jrq1WskKmduTB
3jTprHac5oTfys7aZ07u+hWk4aOVUz2BhG83fFJq2xWuB++wj+8dKk3kAGI5VimgXRTrq5mtGo7o
8m+a2TMhQacLDzLggb1Eja7MysJQpK1tGGPlG/Me4naZtec0dq4iQc9Fk3FPLgHA68A5eHl/rBQb
uYBYT7IjCLjGRWluZWAeDIyUPgDoZ90NOPuxN+7wlSEyx7OGtqoP/UYbNk/5/lPe4kabpvxckXF8
UVGx+RZ+1nJx9kYMgkIvdbElXI2kISZcmxp8uRd4524uTd9NQYXHS2A8z1YMyxuvMCYzLHdWP017
qUKPuM18PkkoCo8OIIxTK9xh6zgEwraT0MRNG/O2nUxFzDLqRe1S+PREItTYe3ekYXyspkpd1IZ7
mosg96W26m3fNuPGysDIW/AP0bnV2ywzdmlSP0LOfXan5ZLQDmcTDrbaG0Vs7hgLQsoHrrfo5GNS
d+qQlEFDjz6S3ukloHCl95W8hWTbDZ7eck88gjuBOM8t4TbhnVcm5b4PUURK9s/kq3b+4IrFh5sN
u7XTJ4Zg4uOsFuGnTXsBvfXTMqsJjblb7RIgz0ddoO4hIsKlqeJeiIuk3jphpY4RdoidIo4KFDv/
LhXNB6OFPp06U7Cl1h58kOX1QbhcwRL3zd5mdbwPrOQJTVp4xaws31vup9BrzfMUOpAaK9t4zCC9
rZEokdo6WRzfEy7h+kULYyNBcX+osPI+msXkbllLpPcL+4lt2y5XYFeyPU7gkc46svdLCrJBgy/a
FRPxkJ00zFvqkAWZQZrvSN2O/F6TIIo5OtlAJrFPQjaBH4fucJQyJLJ4kBetYaKeYi/31GuLT9GF
ZStVAnss9MatHlHwmBrJTasT82kOcF52hrD55tbLvosqB9ENbm+MjMVDalgz0Zu9eRZdS2aTx1Ma
KL+RRju7ckfIJjm6v4yVuUV/v+etgvQzUDV7toESCJI3YfDXeFA+xYONda5ws9NQOyzKGcVsnYXP
s1paTfeV4QKwzG9TELk4N0t9rgYyBxK7ezDJHiTW1T67i8MwrtH3NqPN3WhahAIQF75ZxszeKkZc
G1l7n3HL3sdYvAPRY2oq0GAmsTjMsfE1V8u8zxr0351zGY/8/4BzD5T1AOpVUeyd0Gh8eo9qO6+1
YuRY7kao+K0usZQC83xoSzlB9qRayNDw0k/1nU+hNe8kuJttQ26ub4Z2czVLZ9/n8s2r106DcEhS
llv9EMgo9DFB4Z4kYpmv2mFS9dcBwj3Qzjm41k1iHcwMazh27XSfZHLYkchK1dqlKBy83D3Sxd+U
mfxo2+1lEqrk1Orp2R1bbLB43n20YPapN+Pi0fOGlwyJyJZR+1c7GvFYBnHnj2H2KEV/4aiuWSNL
zqTeoBIoy+wqQynFfI5oC8YtgRW5Ptmj35qmNzHooDvXS18elOqxpus52dVjl13O2dgc1NS4GGnx
/mYJ/EUr+kgquveIdetYZoW4WOyk3w9yrvedm8HUc3nFYlke0VDEty22yETwEGJcQDrSCOSBHOhs
3+D42Ji5fqjSPGLsWMcXc92ewqYG3DJYmE+6HpAwqOQtqhz7NUunD2PQA16dnS9lL+FThhl5EbJD
hldMBkRbYjQh+Ho3XcaUenVm1Uqtb3y8qmp6rY4pr58H92Wy4Dyx4/1Ux4zDbZWdRGS89F6VrIjJ
LxbWcc7Cvj+5w9Jw1sTY1ILAhgA9xedoQCMYGpxyo2toZDluTg8sIUcslt6HzmjtsRuTWqAqcQid
5GUcYn1aDPdx7toLsjIgkhvhN8uonHNWZMHecDJyWypb7HXpEOWrcvPsVrQHpeJJvnCq7huQntvR
nRer+MRUpuieVAyCmF03tFUPqvtIG1hhjq3dcnymD8LyhIsVEnq2qbn7cveGEY5HWq0TyXT9kjHg
0a11rCVJEVBsKkhRT1Y/Fhae1XluED/jrig5vRE2L9UYEwkiA31vqdyxm9dyIEayODfW0AJXTsq1
+QGildEmk6hZNUvT/GchDvso7ua/K6+V/vVC/Kb5GpbFD+vw33/kuxoFygurQiyseHQsClhK5O+F
tVQU3Radm6Z8pYam5v1eWNu/SRYa/By7XGpnyRr7e2EtyJT0FBIVLE0kOJvePymsLfnTQpNqee2K
tdSmxAJCGf9jYZ22/ZKOvRffJqlnJZ5PMcqJ3xCWeOMFlVJ3yq6bFmUoMPh9EBBoRxU3xLafBqBS
pmuqGmRbDpCIdZ6bdtZ99Lu2S/MASnGDpZxG1VCkx3ApzPG2y2rzSw6P1uRQbgHE+AA3gZPKXpRh
tCn5grjDofSgCGOaS855UsDYZsgJILqt3U/G2r5iWwnPgIfrTVmGUJ86J7sHQRAcwqVctpaXmTdp
GpeDzxeq77EVNoTqkL/d6M1iKePJMY1PeF8YYGhwN1DSHEAYA6HACGEuCbsm+oyR/Mcx6eWOCpY6
tins6L5x3BRvfznNt0O/BN62kmPe7KyK35j8iIU4lLbOKtjhEbpE6F7h8B7wPNqfYhQ0Ty2P6ORa
y8nYtnHl3MSNyaxrhsES+5k9kyjHgJxFiTd50OfNLp4fHN2t8Nigmj8QplRgpPSQIc5TED7QMQUe
Rq+ZIRpRe8MptoPoAmX99AGwGtxsW03mCVb+gIQ9bYF9iQTqh9PZUcjTzKpegJQ2KBhr5pCuMyDI
bgsyUgwNToGDenFJAR4dkMIZpPhNssSS9cMUtSSh6LZttnbmzK8dsAz7lt9Emr5Mh3zagjietrHZ
W7vWZEAJUCj65jTUelGI6YNMH5wOIXkreoWW9WXk3NWI32lUojTEXdiVdymw6TPEioAHVC3uDO2N
xIDnDHSVw5O9abT9ZQRXtKV96q9pGRc6qrnMI07k2XPFvsZ5eQmpI5mvzKI3neos2WySvOXponU5
5BPiF6jHoqK6VWkdYQ4uYqE2phXP5JNGLnXWps9bBtO4M8AKRwXyDkSMQllr0gefHsE5IddqEYPz
wHSYsG7HmLzqmbm5Q15aCRtljjxsZ40Zsa+lG1mpZjJsy/NaqDNrr2Ao5RhIK7TyTuqg2J5z45LQ
uBBctzuV163hxpdD0UUXdlCMbzKP4KWkrAN3M+Po+TSFM5NOaiYAqmwLzOg4U9KUR/p1os06MXdw
fpbQ6I4Etjv7Iozj23hCj0EA2QACrmyCnG924DqrbWqOO5LYSlYuVVANw+WyxOS9S0NZfhlxNbfV
sIKDzMJocO2gUwtvWTfGMNXyPneuiN8bSfjS5qFJ8RZEIVZy7jhlABJ0UEngmY6vDeqgAcVmAAWb
CZrdbPPMHT/IuC0PHZVmeFZmy14LX8yd1xufjcUr+E7BhEKbq0l8uu5Kq6WIrqO824dkkHyYgtIk
fW3uo8dlcSUVVFA1xYF/yWoDOV3XHTmJ5gdVe1N5kppKx48BFtoHAh/kqogPrJNVVs03zLBPumck
bsW6XR6GVA7VcUwjAUIvmKetWxniwmpbE99oIu9UMfJ9DJSX5Lsk5DTTPePSdK6TwzJZ7jkh/CoF
PWFM0+UkRsQiVlssW14pPbhu0O4yEQasCblWsMirBSPBoqw7LMPmsLf6KNtiwZMXkOG8neUmhrcz
4opSTUWTeKwWCEamlUmucwrP9xMpQMkbpEXjyWqy4bU1p6HZkXmi+K6paYDuB9E4F/hKTkwNlJ9Z
bB920H/C5oL/QfUbYVSMKbW0qznc2O7CoFK1hkaNNyOoqmiz5kxRXdKB+ZK2K9xouwlZLg+0/+Rh
0CwEXT6GxJjovFeg0yrYBG4RZI+CaKVnpLQvilsYM1Q7UeF7UICPtjs6d7aOBQlxwbztZFSfHKhR
JkzNjsRuQwehv8IK7ougVddZLhGw5A0Cp6uxKUt48hS/B7curQ91h71wmga45nbMjkTEQeayVzY7
ljvgd/orJNbIsGbR3jMKB9UN8GUK78TEhodGSGXzMh9zizQmnfjKCMLgXLecGtfKTcX+P+PKf6ue
0iyBfzWuvP0KcBxi11vxYxo3X8z1B7+LDNVv6A5cgY4QxS7gOvSHf1RVrvmbFp4g58mWyGupnf67
qpJUVcjE8Esj5UUCSMH1R1VlIU0U3NuOcLGnIUJX/6Sq+n2f8MO+wVnhyA4uXuUA+vvZQomDtl3y
ymRI4qxuK2obbnGdrQC0AOzPDhOfsHwwQAjbx84GN4WorDmhVACtvdTof/0og/zPOK3LNMQGzayK
WXqPpflzRf7JzWjbOM1mbPUQOSaxWVjVE+ZotC2CoFltFztjjmVYbPJ3NL94AAlzALvTJNFyMIQs
n5t25im78jwFqww2s8vyFEgD3KfKnGjXeCsElGdX/RCmKxrUxH/JdGVaiaHv8ND0HSRaQnaBYFHB
F2W4F+BdLI6xs8RfARGHn8cFHunEz3zQc5mQ/73ySqN3dCnUY2QsjkWK0qZf6ablyjlFPpZdDCv7
NC6j7mpYeahiJaMGZgAktezgpVLp0b07IRR5zYfiTytZ1WhgrGZ5zpIU4QF4zZXB6jZ8zMJwWM6C
9DTPhR32uwIZI8McCK7S45NXK9V1XLz8tltJr7hP8ztzpb8mKwc2ekfCDisdVjs0sMlKjE1Hkmqx
zpqdT/95VTiCFDPcHyPGqpSj3C+0+YIopLvsS/Wh1WH3INq2cA9uE4CrlUYSsgProdgWTW89T1kq
9yjC3EMOGxrc7RIEhCYzqZ0tE5BMCdZT66G9JyLCTXb2+5Zu3dfxZCx2Khf3znC7Wjm27ahq+O7m
rSJWqFxrA+uabNf+lbSN8KnJrelmaBOg76wLjdbtfP2+QYzYJVrrVhEVXsCSPynu9LpzJNrjBaUT
cWvrPnJeN5PFuqOc122lbWCJG1lgmqXo/DRNkvtg3W72654zWDeeoV2C1LbcXa6Yj0QEFW2D9y2p
ty5MEy/Q+35donrj+Jm0BQMozrpnjdaVKzc5CpF1DduuC9mFxIqdcPUIskwqpoj6ruRuI4+DlLh1
pZuvy11EVx+WHLTesi59o3X9q9dFMJES2g97lsOiR16SrQtjWqzwVK1LZJ1V1RXLbe/suC3BgOuy
ueGx4GfvC+ih5r5530pP64K6miOEQoh0tsn7/rqyGRC761KbIA1NJHKsWHXbKp9ZfJOBMsV7iIAj
gyotFsWCPPl9XQ6ocV2ezwa6tgeJ5GJ80DxWWbHrmqLjWUAHTHamTuILuzGdu86NguhlUgur514k
mbUvvFU8l9lgYFwxxNeeO8sXD0WbCcZfkLPXMGVqdoj8sGkSG1Ikp3F1ExACRogZEGdzUcWhKY1m
eBjiWI0wyuMelUIYGuiyUgRLyWuads1SbIkoKDBFRRrT/VzZHql5rZw42fo4DF9zgXkWOoygDCY9
KGeJzGrA3E1wgGnqRDytc7pxdsItIywKcPbuXRqCkXDVa18WZPQ6qSdSG6UTkOhhk/UdQVxdgQhz
UwR0lfzNDtJTgm7AoEA30ac9FmkP78SsaXp92TUy4Islpt8Fv/9ZLP7N5IOAe8Es4H+2AjyUPYtF
/60hgftHBO4fP/r9We3+RggL0nDE9oKnOKOM749q6zdmD3qNl1+9OOt/+WP+Yenf2Cey6UOWZCup
/7RYtDArYrTX+HGRYsvVqPMPFotEDDDf+POT2kNfrU0mKS7vg839T/OPHsZ8QVpPeZwGR4w7L0oR
tRFgi+AGA8veLnCR+wXxZndebCGmkXERX/PdLbdDFrnult2hwCUbWy92G823sM2Lh6G1g49YAFFG
IZGrjs646GPVEFZGAjd05nhlwxAgQFczTjS72w4bGvNwtqnWJbMEcOl8Z/HwKm2d+6XO6l1N0gvR
hfMMYoLbng57GZLiW5sTy7xxvFntU6NVN5FIkMFHgfKNciIM1awN60z3smbX2poQO8OKSOAgB5Qp
bzmDOTSaoMJLTRPU55bFcxDxNZZts9hNWT28mhTE3hZJUPeVVxGIiVTBCDno4Whu3KoGr+3Y2bx7
FxZOAdwUn6wecoxjHubH2GSxu7MWM/8Wc8GPKNkQVReafHmxxMGXxdbYv1Mxti/VYjj8ubyzF1Xp
9qUYzfTeS032DAi+b8Y+KB6r1i1vuhYy4cVUT6Heqh7JOBhYzm0e/ZkI6Dhrjr8lqtw78gLnXY1z
HVulCEjEpLtnBK6Syblb4qX6KELXvQ0yMApkvTem2AZsoRm2ZGO5d9ycYIbFOU1VXt2kovZudRvF
0WWiPH1s+fz2Q1l7l5y+9WGJovEy6j25n94Fc5AQywchavfOQHUMIgXaKCN7fcwFKzMM7uIxKFN1
imeujgGe9zT1TnmTNvVgPCw8OXa2kwjaL56adYb4EDCABHqIwbPjd4Y9axVx/QlvYv3aELbyQqVJ
m+4tLDJJR0RWKozc3SEMgNXPsevdTQwbGCwr7wGDfHg3WQsBp97UUGHqwfpIUdq2jNFp97YEXY5v
7sJyLW0FKeCV5YT7fjbpzSfiEo+BU3cLQaczJJc46I1LGRjD6I+k9+0sc3KLiBWFB1U10jzTiGms
+nssxzq9JDHHu61cQ1gbAZbqqaBOvYpYpo2hz4zJMEm+SMCu+TaQT+sQTrPJfthIkrGaNySDpwgS
dVy6r2isho3ReWONSNi2Aq6PMQ4kx0B3GneIGNw9+WKLJMEGjBaB6DYLtlNWo0h7kVXrdWfNXw0x
25KAiiA0HgjJgs+VBldOng8X8dC1L1GdXweeFV5m4Ay8zwmTwkFupJWXyjiHuenA6cWa+6QtM96T
O4aqjG50FyBd35s2/9hZZnaCIjo+xx2ZYYYXlVcIYWt28N190gsSo7IVEuMkUriblHvomcouZM9h
R8ZjEVrBoWyY5VMcW3mFg05U2zhB/2ynU7gHELEmbBW8h+NsxmC0h17225mA0AsDZfgJWCu5y15x
Xy7uZZe0wSkZiJnz3HI6j3FCDBxOVrh2DLHqEtqfoYwv7MV3NVstHwLnAaMQGNCYEQPdg3MN1fmh
W4jXc8KR9MFEP4tmjcogHxiQRl/eoH68hzNOfnEDh8dogRaEim3zkKGWJeWRUPWi9ak+iwuzqNqv
yexcm4sMXoG5juxQ6oxMZcgayVC25GCi21VQTm8BfFv7umQ2McbseZW9XMe1Ox8yVHF+FLXZfhap
YL3FTwlgRAivm7Lakp30WgYOnLbMuVmqhhTsNPArGYFKs8rmUAfMsxPbMK+aJhhv7DZzGUyUnzxO
2wPDQHcXB3OwR11DNR/o1i/hrh6XkrVuNgzGynUWF6TcD4i8wo9lLAm5F8xxU2cuttLryWnsyuZl
TOrxaOZh9wRsquPGGI0DCs1vfWNnB3Kw5l3XjOJxEDL4aKUaBzcLWnWyE5VjYwFxcuptUCUoMpS+
KNB37hEPU/VVIfThCrXf2QVk7U+G4dz15PayBuPRlOQovDutcu4Ke3Gu57YuANOkaLt3bh1394zS
g2evRu5t6TxA39BH1ySj1Z+Kck2kWrChf6icLN+LHpJPEEt3n7eddyiXoXolwdB8IYLd2HUDONVy
LJbrgtEbC8QR3Rmi8TuL/3CFYMe4YZX17ODFMH3h1f0+bBf7mlJNgGaeulSc9ZSEl16aux6ArjVk
vot7x08lyAq0zKQzq5E8cY3M1h+ksK6tgGKf4dTEzJOx68FhfokOwknPRhOShl2FzPuN3nhGY9m+
cMcV9Tbux+rCtJp1r13eQRo0r60Em7vb8Un3GbeBIt1lkq0/rcRIycYfFakymPs5yVcLhOfXPm+A
gEVWvqA8CVjUN8qez4XDE9tP5prAYIZYT2XUD/eRl8Jjxmu7q2iYL+tAfjS8/lscF+EHZhZgemd8
8q3ST4XSBqHDLZEVVooLQHDOLXMdPIWNOkB3+xjY/WdX1vqwlKrbLAFRNEyoP8zD7G27jJW44zRv
dZ6lm8EiABN6N42LrL6GMHA3aWIgRXWt5DggHS19iX4DOmIgbvFTNTsGyeldIezrIuyKS/hi/S7v
JJ4RydaCRXbUjNWuFflyvSqtEFe1X4DBP8JApJSivmDfSqSHNYCWF8myRSIsa1Y0HK6prtdipnb9
DqTMZuIpt4uKIH6TafpoSBt451ibH7EGx8cydp2vuAfuMR1/CxBOuE2M+chwXouM2UatUZJPqemc
vTlYLiuzJ0jUql/Z+lQA2fvzWKQBZ2dV7fAbM24NB6D205yfrKE6EViyKhzEUzzO6WXGPb8h71fs
BanvsPy7yK/M5NAMWXUuu+lBLVG7F0tUbDLMK5h9li8d9affWX35wEQeHXK78FkHuTUjOIJkjcWC
tPCizfewp1ENG+7nIJQfBD3yq1lr64bNUuYzmbkDdMx9pT/nkqzWeOmhfAJLv4AD/q6O/erkI9k5
4gvItTraQhCvfFDl49GtCHlpVaWIv2NkP7h2dKBice6RY4fkqo3JnqHvdEOma3DbAFtuuOhkChzi
yLyO5lb52mEbTgBnyD5iQkQhEqwCVfKEE8q+D6aoP7Bf1gxiZFHe9xHGmwQOjQPZWtv42hSP9Euj
bu0tYTjPXRIf1mKzFsUNufWhr0YPxEz5ja0F2+wcA5Fh3gRje7NktKYRoc4N2omkyj8CZWWd3k6P
Y9vfVqK76YziimoNmYy9gPnq4G/Ax0YQPiDlmhO+5trNwGxr5vFwMh2lL4vEdS/tvC7wNjYbOTtY
52FsLbcSw8l/Qk/+rZW3Zb+PK//nxu8lbj+XRRv/sPX+46f+6Plc+zfaKQiGlKXfNaN/NH2e/A2J
NMttT1nue9/3/7s+BYMBrahiBAtthg03wtY/5rNKYgK3HJM5p5I0Df9sPvvjzhsxKbAEyjKp1uZy
JU//uPOWgujbXkf2hbcaU96tw1oUzXGZZ0wTXUNu9p864791gv/+gg5TYno+DYpH/CTPTvmtK1nl
+gLcOyPUYYwPHF60QlgSjiEe3+tfvx6d85+a2j9eT5Gph1QAgcHPS30vsZcWKirJIGVkvyUeL2Ct
CsBWD/Hh1y/1o/L8/aW41Fxr+nG0Cj/7fZuIaVafCnWR5rhEYydpjrpbaErZdWI8J6b32SFW7/rf
ENv/i9+SO0lzN7gAv52fZedjnQ6zaTTqopWJOhVuhfbc0AUe4yHErvPr31OwUvj5M+UOZK/A3AEN
7s8j/QnRak7JrC7GEmziBv6ZOWzGxMTXO3QOy0aSKaronE9T6/pzEw3tByZvGIYmdDm+KQvv8tfv
6K+/PmL7FWGw7kEctSpL/iyJTkQUkOARKGIJVh848OD4YAI1OPwvXwsyFOsUbmFunJ+mJGFCLxPR
P7L/xG7YKyxaDgzl+3eb8q9/rfW78N8DmfWGYk7EAkZrx0SQ8jNMEY4zfpSyVxdDEH1rJZbiXsJq
/fWL/KvPjkMIICEvxin10xeSwaZyOpmpi4VY14vEHZiKuivkTiwp1fWvX2ydm/3lV0K6LiSTLj7C
n0EQyEMFuWzCukgkeLctsq3ygrhuvG2E/2Drxrr+RjnJlzT2GCOjPSWmkYnM37yNv97BkG849sz1
q7rivH68YQKgjMjoUnUxuZ08WwgbCCsJPPeyMlru0NrL812aysbezAv0zO37l1dXtBKcIM3x1+/m
X12BlUxGnCtXGu/Kj28mRWlPUhpC6Hd7OER2YmyKHoxVRTbHP38pfDHsvxweLfLnO2qq3KZsnNq6
iDUfr+etDFvoUxz1LlzIv0FP/vhs4fheAwvwj2Hi5+X+cvtWUVcyaKiMM3HDCTBxA9dLYWWY+Uec
kgO53O7f3MvixyN4fUkHazBmI5abXGD90+OsSrG72ixCzmaAYRjAFr1y27TTPc0mTvU24Lpaeplu
IzeRj+8u/XwCsIuOGDslWhf62prH3/sJgoV6FcQuEstggFkdsyGp8H/zIcFc+uErAWLdpjNaZ7hQ
NCy6np8uP5CwRE25pc7IzXPChInbK2MbFalo035TmoDNQgyrSVMGfplUs70T/GF3DVaqfIfMhfcY
gCslw5nl2pcFl+CXSabcul60rJ5RwInR1mwSJpY4J5AbiNBTb3Xk4j1E0HY0E36sYSQMNYOf27aJ
tE6jTOrXbnDASYaKuWnCB4hNO5lvwzgDIGFjsX2GwWiwnfWCWhxFS6wRImd6pW3uwdvwMyKEyIXt
YwuBSVHzGi6f9PtouK7ZTG/UoMAvMrUV122EFBZryerdpphmLQslxT6P2Gkv2i7MMbk2Aq/+O9Yk
TbL6lWgHWZ3Ztsz3LLKhRsjOGDYL9qr4o5i91de7ICElNZUV6XOdQakuutR+S5lyI+1PpH6bhdd+
aUW1PqGHQb9BnZOfqyWQR2Tj9X1jswrUI6J7Jw4V4+7WGxD8oZvKfUGC2KNh1XxJJ+pwzJsGuibF
JxrAipiVjA+BZbVfmpaAcqOU4rFb5Kr0GAOHVLBweZYDs8nKU1wniGves5ia9ksKD1pubAuKytIG
7GvdFdrQV8RWbkhiZxwdgJnb5MksHpeOz031Zkuk/fpELXhS73EGAYgm1btJjmhZSMicHYc7W0W2
msmMnBfnHK2FiZE40+9cCCIhp3tyE8FdsmaHfKFpN6/ruOauYe+F39hO+TTnJCHQaijdufAHM8Bq
XK3npYHEC1SFGjA8S8YGtY+pCvvAu3XZLsmF4w4OZxSMK68kMvLVr6xziBhBic9o68yK502XooMi
BQ507GZA3/PcmgF/rLvyOiYDoGAl1hBbsvDSaY/2hqKjI0Dc8isrXK4WZMsk3cW5fmMQDYFjnT9v
WuLbsq2eRfMQWos8LqDGnK0MbfWxGIbi0V3i+Yq5fratwfUIdFyZcPciNpvz/2PvzJbjRs5u+0To
SACJ6bbmYnEqThJ1g6BECTOQSMx4+rNQ+mW31HYr+lw7HGGr2yKLrAISmfvbe+2E0qljREsc3yUf
mUyUc9VtRBO6TyDdcWoL1wfThzlmuvWFL06FjMH+F1lA9gMz83p0DLmeynl6yiCpbnH2KXWViSlh
Z+RmiDaiKc8tGj5dKmFXfK0c3X7z5VwdHcvrbkG/IyZNY8o5EAahGtYz03xSCMR3yE9M6qOLAtzs
Gmdyv4yzZ27IMJe0CQod7QSd1MMq6FSyMdOq3AMxq24DBE9mOXMTf4pswkcewcwbnJKwyMspPOGP
8+q93wzuK6l3WK1wHj650VBdYbOOptU4yPlTmdfZ1nGsmb7Yno/RDx0ExGwoP6UQFdtN2cfNJhPa
2y+bUYq8xpouZK0LY1uzB1xEWZrdfIsWkBhVtGRW/dBljXEss1odU43iMDnd9DWMqmEbG4lxJvRU
fEyyHo/WRLgCjYv5BbQKPLb6DUoc90dCh1WIHXCNOGfuClXxjXzjlr4HwfJvh5QLZ9qm/GGJhVKH
ldV4k5GsXI/o6fLJq+Gana5/wCczORvKaCmrC0Fyo7gGIROGKD76FVmzvKX5iWy6sbWKqntWmVsD
JCmbHRmZiaIQ8SX3mupjkIPbSQJz3DUGUZgu5+cIMIOdeSpBhJtZ3q9dWQOhjASfqBdZ6XWFzete
tJ1CjWq5qA3czu3bFLZE0C1ybqtm4dJsK9UC46GXgw22ZeOwXzgg7XukF+RPNQfmE0k3LllByulF
ex1jDb8bHbElbzfSQEE7GIYxL4R9YTlG9RqaknJCeuvXF1JB2wQ8j/3OATVC8Wp1+o7QEeaomj2Q
ZpagC9zggokxRs5RoFnYwrn9jGirJLd+B4/zIEfGSgfHzFBHwc3wo3mo2GT8y/zVIoXHfo78/sq0
qwVCYsYNgoiTxr76NqlegsjxkNhyr222ZSqHr+AJ6M+GvOx8wEIaHHUcNIe8mhjilGOU0GltpvHn
pm/fUuXYW0cyhF8jV9fNx3xG/HxkvFXZB9+K/VvigpCH8iTbElKpD6nhzjtqFNTzHFDNsmLkNTz3
ji4e3Eh9s/L54wjd6S5rKXRhXUW+sgKkQdkp650OruidLsXhMeo8PjnueHIqxHUw0ZC8ALQRJ9m0
pBC9K/RQso3jkCtwfuBMJsaWTTQcsHmKk6yr6QZrk/3gIjXj6C2yzly5fAo478igvhglEYftaLb5
zai1vGNel9/VpuweisSv1xrk5xf6PPJt1c72Z2pv+hNDHvJMTmglwKJ8GyWeHsPV0M1DQGNiznKB
3wRl3JdX09B/DpUxPA70Tp/NrmMIAJb1Uza4uImomA54Vi6233qyo9sADP2NHhnFGsGAFTzuo+bN
SpCUC8xL2xLx7ETo3AhXsm0KvTdZ8nYEVDrMkqZlhdSjhd64i/PSfnIzpWBf2/OjotTtWkzdfG7p
WyMxGg2vXd7W3VY0jUyuxmQcnbVfCYMRXjj42a07ikHt6QhsDpxyjesUasSzSDTZO4NUG9R9wxPZ
oePiuYVXqr6Zfd3cdKQz9yMPwlOZNkW+UUEcNpB1OV7ELG77TIYmHAt2FgZl9V5/jqx+wNWZhhhB
Gpa812xsqV+YcodeRYtl1IaqBowfT/+wsQrdhZTZV9ZN61HMRmSzZnTi555kQTSHr5VFt8YuoM0I
j2skj1LWVEXn7nxoOi95aAqzfu7MqXnxc9TpfqTcb04XOgYeLbTHOGayQ7XkxlaDl6zNcI7fRdHy
HGoFpTdMHpMcAxzVFf3MOYViOk+vnSpM7oj4jc9CD8aNk7R2RPattne+YWuPhEzp7Oinc4Z1ZSVB
s++4dr/hSR4/KN9uv5Bi994HFxvpTuDuYWYFgRx7S5V7zEJ8u/rGoK9ONjpm7nXwWvXNicfovkkL
ml7mpGlxv1CrSjaB2UM8JvW0kp5mMM7T+c5Ast1awqUNNojYs0fzRE0lHnEPvbOTrU9ZFSK8Ib3+
I3U+oJG8aE7vBCWpAlJ+md+VQU7MubRG4xwbNp9ajoAkDwV9hmMHD6geQ/n9BPs/E8zvTDCSo8mf
Dpt/Sdc/t2/xn8M/YAGXL/gR/rnwZgUJH/HDq/LD+2IuaG5S8wE290v6B5LEj/APDhe0FpPQ1r/0
zwueFkAtphg4Fv4/rLa7aFX/1liQIBFTbcjgnG8gRf5FAK1Q3eNq8qeboJwNbjmfCfu0u2zJi0La
x2xcTsd9FKlT40jsBNPEGCYBmjctB0VdY2dH9aePoOtgHybm+IA65NwTYm+EvaowvYXEJexBdP18
KApXhsOD4U0jsOku6P1APsfhGBSK1YpQCZuuvmZ+nofGXVBIkiiVTnUTrCkBrPxvtvKmpDsMWIlG
tqgeFr7wyJJqpCDi/Lp/VD1v8qNRVp61VTKmQD2Cbk1nmkf6iRALO0rBy8YUagkXAJoVLYj9eWof
dCFBe4O1veWQHO9rz5ptdr4u5rKCUvmZuAE3Fo0c+dwZn6FnJ08Aa3W9xomfnseKQMKo6+PM+GMX
V2H3FpiCEuqmYGqTZJoHryCcGlQ9U2hweDNDlquU+ZpDQpfc1Whth0H09QlK7gLMxhs33sZRBjab
iO5AYW9mRNOjMZkdhG0RZSlDdOwxlre3SA11+/47lRtwDat4zma8rzPO/TmPhRtFOqbkUygciz6W
72LS/1aE360I6Gfclv99OvKEgf1r03z9+tOy8P2rfkxHzD9cJK9F5EQC+ZcdLhB/2KYD5WIxttOy
tZjaf/jh3D9cnzwMYxGBlw4b3b9XBvlHACiZpGDgO779Dycj0sNU/yetElIOkxno+lKYNvMKpPWf
dTlv0tCDBqc8Gj3+H7Xv8cek/Zby3YHzZ4EYvTKh7AzXrTVN66Kp6RJpKEP3mDkf6kImlGKETbHF
1MdmuZbuE+PbbOviKNtEkds460GTRInc8SNSObj/yXbstyAqzaOlRM7ywGO5jiNJR5D33pWqPfZ2
E+0dxucb0Bg1m4AshjvQdvupR1BBZ5KA+oKx2Tl4dtiM+Li9U6JBUtX+W8nNeORYMO9E4u66Bjgj
ZwWx7tMkujM1aKNySshsx3afLEN/XMf4SauPsdnVe6s35is2QYuVxXLdz0SlVLwaCxo8SaFE0U2l
p/Y5S1v/ekxn8dAN2tqUuXfuOzO44davN34RRZ9gG4HZY8Z/mD22hVnCJDpMhd5rjzK1IYEup+3p
XKnKO2owdjvKfrECMBO/K5c9QpltnGrM7g3MHisvpNWZ1kh/m5MmW3VZ7TzqpYZ7qKVY4+mV1wEt
88eumY1DiIJ3JbPYuKKaSG0zao3X6Fczgpeobmo3xulf+wYpyGHonqhHl1vLdLzrKCycvVRmsbNq
2+G7NvNZ9VZz4yVsdLPOekK+Hb9MeBG3zZBiwvOy5jxnrHvD5OY7F1ztxlDj9CCT1PvcsQSrcvok
iqTZmwpPQtfDJUFPC196P6l2aRq670iR2URxk5XeRBjTScQp2rfHsS22fkGyPcFwyaFE613t4qia
xFIjzOGcHDaij0Y2+uzrcvgWYXnbzQsMAiNTUW65b8ix0sVCoD5VzzH26WcCdtOb4Zo8rsrZETdG
lfUn31hy36RTY46zsdqqCGMh2Wx/Q9+EfxUKt7xDy69uwB09x6NBqoLuu/rgd1XG06Cmi4G45R27
YvhiNc9Lul4lSaMEP5536AyA7zsNIKVHqpAZW91uHK4wuezS0iK4NI/a3sVS+Tz4as56dWUVh6nz
cSDNgcMBGOWLtnoLhIU9wLSCEIa6g0cjWY3WXNwbBsV2uMdXcVfWN9q13tCivfC6tvMxPikz/+Am
2nsoKmcfGr5pHJukk6G1z4FdEEDsg6EMvoDArKm4Daf5Dtprc990ll98CUp4ftfU2K9KBKpnR432
0hURczQE1fAkw4ZmG92Z2ygvg6uBJ3GxCsImn6B1uupBjUaRwkSb+gi+C0rGs5UPMhs3DsGKFqge
RQ2QOBvHbwxCuSlF7yyUvO9Fr+YdneUYS7dVFIrXOQaMsBZk+G/rySu8DwyRrFpvkYXMczkGXfie
cg5eO8kcrFjhKOGWBmh9LBxcuU62oruXk3gAxDZbj/0CIxNtkH6mUn4yDn7ZC/SoKkf4rfyuyzbf
8a+LT0LeDFGxYDghE2fs37hSxGRGwAtaNIayHsb7svXkO1bMNttjqSQ+SAEdPsGemnZOLJhQOS46
GS85g31EAx0F1D4yywVngxw6LQe8ZM/ah9z5XR20gobIXxGBuKAaKCirO8CNVuVCfa5juz1l+eCI
TVX18Bq80YuoECjdu7F3x50jcdkKkffpSju8x7gqw+kJyrl10lQI6FVW6Vqs5yIYqBi13ZsykPUx
SwLu+9EJN06W09ptdfR8dKYV70uv9/cV7fT3pZVfzxGR95U2nep6jJ34FCrl7aqhlTGuZd9bYoEJ
EJuu5Fzfpq61lJTsse6ny70K1cCM3GSro8o2duD7xaOXEzZyLbIea3twjJVrlCX1uzS6+71Hq5CL
F9lJQwt7kh2cJlipq7zW5iYbZbRvNSaq1Tx3oGuKZp6+1FP9mWeUvmX/6+4Gb8lZ9piRV5aoxWM0
m+FuFKn/DEqqOUuyfjwcyvyYw8q+q1ofXqAxiaseVuCX2XKd+ylEPvBoFmbpDA8F3+pj5pnJBnip
/9qb9VjBn7XUIXXq8eTN3nwjGdusonqkAXqYUrxONla3uupvYQ/vcL5I6oIFQaEWmU4BFbTlNsXh
dE/mk9BVFuybfJFokCyPk9t3e1OX8JyoWCCIbWILnhuCtUNexXcehuR0o0fLPyU2S3xAzn+D2bxc
Dbz+48j8bWWZ+LQjADj3hDshldBMvZVpQEyFXwD9nObllTnImKVxlh9tu0Zy7Z1AvdHG0N4g4plf
ETKrHZN9e5uZoXlwm9r+YIy8nhVU0YZ9f7QDjqwgv7b5bSaG+qXjPrzpdKvvHRJ71yAtyzXmqvQa
n1qyr+24v80qZ15T6eAeaJT/VPsyuUYajz+EmFdvw9BkDAATlp1AMRPgQgxZV4UtbpuR+O864c6/
d5D092QB9ZvvlaTl3Azw09ye8XCMBVQt3z0WmNKIlC8dymlWfR4adv9qLJAIwT0dYxF9oHHMxW6F
R5FyCRix1PlQ751BXREmZMkyFFupI4WSkIiTbTTLTltHwCgNW20klkG40mb7TC0Ggw9ULrzUEpRv
YOAsb/rRJcYHPG2NwXIRwyML9QRJ2KNNLXNNRkvc9/5s4xrodN9uUC+cN2uZsIwSD9rKEylzAq2z
AKxLj7PYe7R16gOm5CiTRPFT404qOV82rf/b3/9uf8+oEjPAf9/fvyQ6IuLx9tP2/vsX/Qi8EF6R
1M/giYE7yTaeyMm/Ey+u5xE2CRh9+k5gs7v+scUP/mAQzuaeUz52Gqpq/r3FB84HOsQnQ+P5lsVG
859EXjzzL1t8Xp62L74lP8XS7PXzFt/v3apCSzYPPnMt2EjMt9Ya69V6LqcabpO95ZL/NJU+PHAq
p+Jn0SmcfuCgTglmn1u7AjUX6N7eOV5ohltNv+x9PCEWaLfMn6oSrhlcJ/9Yh+1TCP19ubLrN2Er
TsQbzRv8DBKzfLFaBAVVDFzdPTmUdycsEeAXMqicRuetFDWqPeM1581WLn/JciXjV7cyvmYj4h42
7mL8yrko8FJKA+Rwi4i21UDC/GhMTyLNlL93e3IjtA7Cp1tFRkeJb4uosLHiyngypMMGjiWp3wIi
h4mBEX3VFAnEO49Zw62pRwzFWex/yrOcx2bT9j5vS2VZB0pko+tUmR2jKneRLvArb0N/GJydWcMj
AA70WRZzeYoGnvaOP8uNo2X2Uae0UTpmKDcGeZx1HtrDi2Wl07InYyshYeztKxIn92EwC29/8YIj
ehivbZMnLC3j+BwLZjJZkuYQ5WZmti8YNPp27WG2ZoCqib6Q7AupWwgvRgdvlq11V5NdqncG1qYn
zTL71iGTULKaD+pVRhJPJYnqp3FY4OT0RfJexBWjlSCDGrOaLAzqUdIyz8iVswwu7ZwNj64Y1TT4
/VEo24aBjY04yUbdwcu+8uOA+Yyha1DEF1uHqWE0oazg8GB2wecaKpcdEIWY/D163/gax54y71qV
I10AwcwMxWmL8CUlfZ+sL1yGtpfMQ2EtY0qIRocOgCqDaEqvCZPkDvbvSkPiZW+9FBRwiuHXKDoM
b4NXdcQZ2gDQQ9w6b4pkU7NHauUpp8dmPgXlMvWcCgitmNZQvlI58wt5y5vC3lKmpzYD/XwF0YEf
YOB5H21JH+M+uHQtAHgi2RWFPYMhh/NzuvFHL5cb3yMNdhv2+RDumjYU0ONUz1Q5qtL2naQLmxIc
+cQccEiDGKlob9rnacqMq2L+0fRsggT/B4YOvj0SPn/2Z9AYK6bqvIN6GPk3c+3ZR+kWZIgY/2EG
aODFk3Km5cBQ/BIhGZd7HzgcpGde0fU6psm9gfFhyDnurb7zYNMhCl8GnTGixsLEoUIOVj/vtTbl
m5gWzwr7FnwMAjdLDW+lX9XOqA/sSx15jlJEwMxeMCqJnVALim0d3HhtJXz/yM75taaCx1kc5u4H
2aaT8XL5KX1EteiA7p+UYIcwGgF/d7nKDDZLt4EGegcGrmEj07gDn3O28PMeiXFU2a7Kl4/UEsv7
46cMXm9b5qanYPHzTLrin4NpqXvwgwg3iFHNyT6rSF2vLh4Xb8hZobwUH4gshDntklrl3+bZ4YpM
XWO5pkwLsHHkGH6xr7oeudMzi5HqCpWN69HL2mHTBhZDjNkdHnh6M39IJ/C2XGngw6uOQE8el4W5
wv+krlu/W1fK8ckxWBQprBprcbUVRHwwCtKhjbEyPKULsp0PEyrRQhZ4SOOphdq9GMRa2TXhjpzQ
+NhzFe/TwS922O+ttegj59wlbfMlNUg3cmLmtoDtPD76rlGsPYs4wMrSg+aX4Q24xj9k8NsVWWWv
5goYzroddG5vnKBklMlbhlw74p49DBguv9SMuEldl5Vvb1FwsTVYDbG1KMJuSQKN93daKgi057GC
dOxuecFiuBtMR24l5/toa7T2gBmHnRw7JqmO9pjYsKT8OKZAbIrIH6jyIe+BnJBOoQyEIXdsPQcX
UOegp6/SK+yrEJz8IYVO+Z473ryUf4/ejpKJ9LrWbvLVrsfhqXOc6aiK8mIOwjKUGM86NfQLYnCz
IRnQkscJ/GQ/mUgdjE5yGnBorciDsdwJn8RdGYn5K/Qfcm/UnDUnouYefvsUr8aKXnH7FR9Qc2qx
shBPwOt37Gad3aCtOhtnGJbWjbElh5yEs3ftRPWtdnXxlU7ZmMyFT8SAGERNYKQd/VsOlw9mYQAk
Re63mQv5fWNe58gC9XmWNvFMEezb5Qw393a/aepM3QwkOFaZ0YX3Za9ZTSbGWImhugezLD/a0WBG
6zZo5mjfYz26ViD9reeQ0fXLEOf6kbP2fez09QNeJ4qhosZ8CBlBPJZey3mtG1v/ribVAbchV1sB
vftjZA3jCfD304zw9aGjhXJfjQ65KWcoq4D7Q+UMMvW43PiEt1SAjK6se1w+1cotVAxtXcTieqjm
fM1cuhVn3E7VdrRAu+DqMin3tTVk3L5FZskHUYIZDOPhU8jOPF8z6HUINhRdh/5R53m3NkyZb3u8
R2t/FO2TVWb+a2IFAvMFVMu7LoVgUwhDHXuXHo71QHgGVLw6DXAEb4m1fBq0X98oDoctJ51RuWuv
DCmKdOHu9PQuPU40YJ9wn5jnzHTbbz3QxU8T/vD6jYNa3p8hQoXRiSx8hkkmK9eq1h+taQ7PjCjD
TUZx9Iqt4HjdtziYcpAWHFv1VdfYxp3WLSKZBRAJY1LxlRrs8bpeolhwHq1zmrT9K8pXuImg49wH
KnBoscC2s8pKyIsrotDqFnUiu8EeZJUbMArGWXJy2niygw9f5Cg30h2vVFOUn5KuJfJRqeewUxD0
hX5peSRuY6xfi+T3asIwTSlyuTYmR34chsgmGZxNGlW1MVF54/jURDK6sylluek8jbQ1tExjMbDE
gigeJho1yushbiW/oQ9dOaa/bxMpzj48/IxbJs3WXhCULSgUOVi5+SHEa7uKcpd8jFXJNWH/bAP7
IN+YzG1YC5EcY85IPCmCcF4ig2AyXR7hOxIEYlxZlrLP+PHcez/Q7WOlsaesNLkZfp8Yb8s8gnBs
e6TYzFmpLnp2RW2eSkJyG7o91DoqJ2cX0NX5mKQV3fQp24+dxXR/M1o5DCQlRmPVtSSRV1MTx/fF
IsLhAZuehNb9aWps8QFCAgsUcZgbVqCeptQmaTZtEZxtpJ+9KjtMQK0l1Yl8WP0QO4iVOKGaARMU
7TKreKjMq06m3TlJXLHRoXtEBPGvqyyankWTUzcOMukl7uKP9C2Ha87LPhuKsY+eezJkcPLGlidu
Y1+5qhgPo4gswq6xj8rq8jm0Oh0QkwoR4Gj1OldTuxA73AlFm63V6NQ7EDE8HfE1UCDiFfleDdJ/
UVTcrHo16kdScR7s4jpMtzwOCR2lTbKpczQrP4TBNmrzIQ4B966Ax0CWmaLmVElkLsbWU3catax2
g2WNxDRZT4nQwghee6w372ndud8I8QzbJHOd+RAHbf5FeV59CDT1rvmytSJYpglcTWBmIfxWa8qa
XNLjNZRhNCS8OX53M2Dt34RT3q6nvkY/9zzrlKVFfztT92Q/83zLbtoyR1JYw38p7tM2sddN5hBo
omjGfcgDw0ZoMAK9onWdbUE5yM+ZaYloF7hlyQ0k2AtyGM/uIh6yUZ+P12UGSoc8UjASiPLDc8M2
4Aa0qGLlxRbyEdRpWW1mm+A+ELDXCMbPwxwOKZa4KN7VWTddO43j3NZlDHM0qGsD2J3TXdlV3p5G
s572fpmM96bTNk/xUFzVQ31S/jxu6sCq74qmar5QpCj2fVvrK7N3wr2O/Bc2asPOA77Xe1qeU+aK
MLv6LIOHMxZRfkXL52DukmCep9UgtUrXIGKrdFVY7vzQ2UJ9HrOC5jWWvJwquJLElo2oi2yNvJt1
2ii+TIvqawTov0ZMA9E2UjhcPvutelLdVKIT6++qMawh2ziGI3Y6yAUPFfKyugjN2EoQne1SvLVD
oG5GWoJXic+1cMyGJORzTqeMlrU09h4CS0LKSQr+BABbZ2V4j++s3lHxQpouXztq+EDdUAUFXPuR
dx9Zqr7n6XdsC56gw+FPJ/n77wPwvytsxIu8jNBM2mKkKaX7y+wLeDOzh4h9LW4NeRyWRhwnia2n
efKa90Cbv8vOOAz7fhq2QeKzgdYQRPIEiqCzwCn+VJZHum1iqN1Uh5KJwTVxffXasDC/ZUaL7GtV
3RcoUFLeRr3f2UetybpPGBGNuLhJnZR6B4Mbe+vWpdR3hV6q8HB3qStN8OGljzHU9hmx5ZWcy5Bt
W7EUCkXCDjjQ08P6aGHL0ls0Sn1Iuo5tpkqdt8rph/aR5L/T7ObWBM2wLpfSiU8z5wnCef7IgS0K
qZFK7IizSMaK8YQRSr0O+FDeuWTKb9TElY92ELGjby/VZq4lFCgJCQov4mxkLGun4IBlGuF5Bk/U
7IKUg8P+0owx8Rf1nawUnT46NrHoNqZfvV7OwoVb/y4r9XPeBPSqoIZcLg0hdPEizvzyoWfskEO3
EdXBmZZggEP9FXwfM+e49vdX1/KN/mS6+P5CsMXYBmDCtH69unzNCa6m+OaQxzkfsfJxt7Zlzedz
qUpqkqUVI6pGDiHovur1n766jwmW2a5PPsEmR/fzpUbtoemJaawOOlUM7wbaTpN68ZGXS2HTCD1r
5bYehwBjKDi2/f2Lmz9HT5Y3mUzwEtwjFGEjx/7yJg/QE0Kol9WBkTLfvR8ixilAY60nXGkcm6Xp
8sv3cqoogLu0heiy4+BXRl6+eLrNp8sP9D9587fypi/5bP67vPnhDYoJie+fmcYsi8uX/bA1wTRm
kXTcJXtHB6rEu/R/AqdpyT8WYXFRPVnsfjialp4QS3IV8EVyiUD9S9uUDnQgTjmUhRArY9X9Rz0h
P6+nksMtNonAxNeEWcLiNvv5Igf+W0Mf69xz0eck9Xm+dmeNv9jFzF03n/70xvyHp8XP9/PlxeA6
Q2gm1kni79fFO3LGhZPXSlx4HP1LWVkgxnEhf7cNX5a8SHjyLeiJHvx/vDSsIqxlLq0ov97MiZGZ
BHhMecb2wEtDhGCpnwZmDmz/GCn6GE8BCGsktyaEwPeb23lZK/69ki2/uWdJJGqSl+RLL26UPz+2
LDuJygAC2TkvlhJl32CPshZtx6MnAVrONHqRe/7+V7Z+XkL+70W5VCSjVXzjvzbAYNoMu0gF1pne
OZYNJoBHq3BRNT0cLS9q6diTic2Ld2bHoyRuu/bdXcJruQFacl27CzAD1W48NJAiwu08009H8S5L
Hp5+YZ56FRJ6S+ZqiU/hfFiSmyU61t//Hj83RH3/NS7C+xKPXix4P1+i/uDbyBexhe2YyEfW5Qh3
+aLJ+Q2rHP3q1WnMSMn8/asyPPjLJwYNM2CAwI3B//78qgiJXjo62jynZm8+lQZ6GIPp+JtIx/p8
aWh2JMkaxyOl8L236+9f/683psdGhxAGE3eum1/vlT4IyDtko3n+XhS73DDTEoCO+t8+z3951lze
YWKq3FnLA4/Rwy+LQDh5bSlEZ57lkqY0VIwG3Scm0vYlnQTeW771wlWvkRCozMobuFku0SBATf80
aMqtYtt4tuzFuGn/5aq1pFEFtQjFuWtrbhJJEqG6ttpC9KukzH4XCf5PN8niK+O+5D/eX3KtpkpF
Yti9xfyTUWQ5xejEF+W2W7qPC70Id0v6lJYirvKALsFbGhuI2k0pCKUVII/qZLh0i0bou9E2Exbs
oKwPtpfG5DjuSS+VU8pd5vgl3pUAEl+++/tr5ZLb/mV58bBnY0HjUYGD85dbJCXU3PlTYJ5DPFL1
Dku3phCV0l2MQOpVk61ZQ41m3Zt4A3G7B9uIeAAcCcznB3XpVE4ySTZrHmYiO2Yomndfi991vf2H
VRBEASY+wb6RY8ovP6YxWl3vhtI8O7PHG3J5m02FQG4KylspnPzdTnV5gv50F0N/5KrmmYsDEKPd
r69YtARnRDY150tEkPGI8wYrfvkvG2m7E2TGtO0ieJPHY2dPyhmWyYAZ6jHpFtcJpVHtu131+HYF
KwDRAvWa2Ix/5HJNXN4i8NbsBLELUBq6BCEnWA3XBvUWR8vjF1pAT7/Jgn7fYf/58+ZhzaGDkaQp
LYKhv84jZz8LPLai0Rk6+LQO1DTrTeoZ6R2+pak9ELGCL5Z6fdpuyPDkiKx9Eca7IGb8sMr53oLY
mMItnNLnQjrA2/UX6nnsNp2JVBlNNkFCB3FJ2DMSiIgH41kZQJk2wqsqjSC6gNSZmiLjEJ/mzkgX
yjqPgAW4njIJkL4qz92CYvebIr22Cr+67VO04I1faSi2ysqNj+bkZXdmNeVfBNbJTU58KAZSMs9Q
Psc+fp8cAoeUTMXlJml5fl8xcy3sVQ034L6+UOLHCzFeLvB4x4v9GonNM9RLV+bUNNuh5z0GQR2L
VZ3Sz4CchhiCvTcCyE6XBCKe21r+Z6KvtIiX8Jqyw4wXwmLK1kl9tMCfcV7ndHJtRR3bbdWHVwJn
KfSznkmmh2Svz8YA3pFyV6KG2CksrJZ0NSp170WkGNe4SeJw46dkNyMChy8q4xrxUElAhlcT7d80
7UZbtgbB1jNbxkTMNZ23JpBsE0qf1YYt4DLuVdzNTTLxZRytyVyGNvETvwkZao7oc941Vb9Zx5PZ
jE2w/fN3iD9NYBD9Xbuqr2Htw/mPvkP/VTL6Rxkl8S1F7e0XYoou8w6LFJpIUr0J7CKCOSX1TgdU
r9ScrQYh5o+0PSVXVu+Ddmcf8JnmgYrjH6NBjx7gHU7w6hPeEecjJiVnVbsqfudCGb9GXZguY+Oo
3IiOj2cdhy0Y1Ug5NKN5/ZoLqxAkTsJyHP3VhJtk5Vftu6yFS0YyidQTDQtJdupLn2nKVVnmQfHk
9XDsg/UY50SBN4VX+GALW8jrPo0woGlDi/816ap11Jp+CsPEoTgZE+xI4OSB+mjECN/8uFlaLt24
zNt2hlg2PzNg2gp9CD4F1MmTiHw2Q6zghKFhr9PRwAyYkCwdYM80XvOJXSJ4xTQxBeu9pTCYaUyy
TyauSooRTB6msqz5Hvi/1GuAmxGTuznzoSKvQhEQ2t8MwcDlVUZM7rEWsWQnMjp3HsPL9TxR0h4y
MVlFiWC/Sos5q9GCDhkJP78gI5JORvGBywWJ35CsQ54syBhoWr4RL2NGkQU5G6p062XAy4mjOrGt
C1862HGbbCqqU1Zm1lMtllH1VOXoKi0GPIw4HmJmLoMi2phmy7+JQKURvV2i2N8nibO3zBZ9cqxv
2uJJTce6zd9AhEhvcVSyxHCu9q+jS7O8V40PsEJ4qIPzJIq9rJHs4fzr0OEhehkukvZt3utgeSsv
M+mm6fjj5adltMH4zK7leF+x7bSA/CXTfX3Zi2S5iwDCkI4Ba4SoQ7GIeXs5G0/LKL4Hkbu9mAa6
hOOGnRPqxxlHvL8l2Lm51IpPFu+9WSxzZW5JXimL++Y9qbgY0uVPvV5qrxhhy6PISIH7OU9RMiOk
s5ei5DqI6ldyjux+x6SZHi4bhTkjNnt1KRi9uJPSBqqBrvlh8J6l74wBGI0lbIeOGGHFLU5Exs1V
iF1L51l1zWXEZ4fkzua9qnnwNLB3lozng0gFm/AKnCbWCBKUYE14mpNLJ3IfUpf45jYzE3CmhFN1
rBvNT97zNT0Bq2FilGJoJKnLBqdbtirZzHj9++HnUjc6pVQ0bKg/ljkz8aymxIRUF25O0NCgyB35
FnuUJux57PADKgsn98o3SmJa9AWEn8Gx8uLl5RYyQydlek7kg20QTx4aM4azL4fmPV8YO5wgfDZ3
/GMQmTyA4buxtlXLUQUEaLI3JwwFLAP20eWTvgWh6h35daqTzUCeTrWOojQqnPhpmeLpA2NFCDrL
5XlJp4uItPYqk0uNdtp7471k8t3dqCEy4kMRh/+PvXPbbVtJ1vCrBOtegngmN7AG2D7Fh8TJJE4G
mRtBsRWKEilKPEiUnn6+alKxSDteyXSwhxjsvhhglpwmu9hdXYe//sIHNFzaLZyUM0hczwl48TJj
OpGc1JwOhUFhZbWJvLv5wl/H58V6RJdu1TRcRaRmCaUoJ/Cdsn6lBBaxBRtJRMeU0xhc6Bs61FhX
sIRw4Fx5fLIFLqBQBXFhrL7MhSdCMSph7q8v12OLrxqZOb0/uMiRwxYTNFhCFQDBdvW+2oXuRLEj
LEZS6A3hBHX4ocOJz7KcN1E7Ec5RI7/ZRqgAxwDrd14DSexwHebvg2pMBw8/lQ80X9uoJjMdry+T
jPBnVOwrWkHgjuaQ3hUYRaYvXLkmIN6PUHMAKhJGJJMMP9w5c9wQSA0MoEKEnakAEKpb9HwAl0AU
CKBixUFfkzl8r1bITYSNnLtoILhFqI0Sh3dPs/sve6LLd/APQbSB6h6dbHFp78o1/5GKZz5LIVba
HnoGWgIrSIVcm7v9iB21igcgVHyF4nBWkBuY/gB+TTM5y6Tru5JattpUARTiRrw/y+R1Zi6rWERj
e7IqC87rUvBTJCg5VvsdjTE9a29R9kCZ/4kDMvFhHdGA+RQSLrTjLM8c62TGlgfWTZXUh1k0dq3z
LfQGl7vIAc3jBGXsfKiy7TIjcSctxQcZ7AgNYiUCeLMUDDMZWvtqAUlnek5JyTa+TjYu/zouZ+b6
I00Stljs4wWC3kt9N+Sjovsqkx6qaWig5DFFQnHJ7QJ/BWxnerMXAdS6SBz3zdxEL4hizUKPG0ft
3XEofUSqgoallRftvkL5Ov672p+2WY5fQ7FKgdRybS/eeqXPFvFHJYAPZ7G5noU7wJ31hki2if9t
RdNBckfZRkgiaLgSC8g7dImlqF3hVgsJdUNbSX4T0kljvTRu545EG6jlh2ifJJJBtbmj0ExQCJ16
a5MgRAZ7+/4EcgG8KhVWjTIKSTN7y287DKHsDN/TuDVslsCWM+4gJUu3Z0YccrK88ZobBiSadZGu
2DQ0lkbbW5HxjkYE9MdRRCcjWjmUAuLILpUGtBcF4VSITxF2MVaIF+DW1LR4WwkGcQHRVjW0dnT5
2cDFcJKG2WZ8sR6QWz1flvK287LgmFmUPluU7O6qD8nOxiWgzjz4HFRgVEInZN3lbkPXrq1pF4Mz
KuLoQJFhC9E2x/Cj6rIoN8vZO0OKTK6W0nYlG0lXR8cvBP8Upez2EcW82V3hlBgh4WARfFbg9yWF
BazXC7a0MDC9j6VfJe9ANN/PBuPB6SKY55cOHcROPGkvDa/L/FtoUQTjgTE5sVxcatg6LA5wBaYO
PDI30i7awulGyDPAQtm5n6FzQc7Rig+aOtt99XpQzq2L0dKHyjVcw+c421TJFVDm+VvLzg3jlFsz
ucKzry4FrQJT4Wq1fDtOKQMOqhh7wTUpP6bgkh2W5SY9wGAAK0bXa1H+1/NxSCAyACRwm5R2igcD
JcCVIkdZEmWjH3cMsOZjODf5PFmy4n/XgYGQLCHsIQK4PfEtWFVB/KKX1htsnERMOsVkQ9NWLDwh
M4D3mDMjjvKCDMPN1go4qsFsTSpjRC/796BSCDaZqbCijLe8aaUukzHg8y8UL6aLaaoaoy+AH5wD
+rGuwMmMP4994V1QjmE4Cperaxh5Vqi8Ap2W0o55fEM8jXQZaME3UUB5t3TlulXYPGNQ5A/mfuef
uZZghthOdCxwTe5PCAnYrUmIttq7kXm3oSX7qdKbwXyBcgQ2a9GnmUJT4AModcW5kmQ+jeXpTIWO
prfjl0VcbekGgt7LAKTdFjGVE9F4AA1s6ly4oWjm/T7lBsK3m12aziya2ht3lN84q5ITV0iljwMx
xptBbWGs4eEUVFyyWPr2lecBv7zCYatgQcC/obtbmb1Oi7y8iIVZC18FIOFosTfuYDskZOcEaCXi
PIjEmw+4NsZjE09C5atcsnx3MyLWZwqst3IqzsM+5DKqTWYHenSXvPMJUbJkdBEuEvpQurvCvODJ
sztqbKpP1czdv5nBRPAJiMPiLOeEoJ3xdvYXICtL2pO6yYjWDPZq8F7406pTzGl6Z1mZVV2aANnu
y5XlPMzpPDuNsSq/UaObY25vyQVjV5k3xiofvTEwyl7H0pILoDLduUrVqWu9prXvOSTR62sHANdt
5NHPK5y70T+SVRF+dLHxoWxJqPVZSP8viM53t4G1Gn+a0XjlPl3vmMlRrcIi1TZsr1qIkWCDy94r
IGk6yYKNW+e7/j/D81cZHhojEXN+IcODT0yGp4Vfr//NIb0zojTdga/OJVQsleiP+HXDMPhJ7BQp
NAU+/pjicShaB+V8aEopyPYDd+dIOlZ6BHl8UhZSvP4r8PVOupY8okNckAQmqSYySpbEyI5S5uNy
a0AHu97elslDmMdQ4H49ksYzaZ12gJ64WucBnVB5Vllxsqp4gD+H64PusmUwiTa3UYBh8hdReRX2
fox8SQyPrDOZL8uiSOdpCHFn5EbswOxENj/GJgU6AvYV8viTwDcp6/xnPq9C/57Ccr8glrGis/ge
PIeDTX5N1GsdJg9EM3wvfEc6dTYKvNe0hJcDuCynERxNUfKmzGjiZt8Q7t5fxXkwH2cUsI92N+Si
0/Hdbl1cwEnoXOfF3Hg/X6fzCM6r8XpJ4dfSRPNbmUPjqI072OZ0/bQCMF5xsp4tPgJSCTcEnOwl
UcIzXoKuNBF6JBdS/euMLO+nHXmNm3i8hs57D05le0HdVGwlN15BvZJTwePuG3QI+OcgpSifOvcE
KG9hZqfk66natwfean8zL4LZ4OMWmK+9PLc2IU2C6FZBwW01fu3BtZa/Vh//v0ZrNAsRHopz1W/t
7+U0232Y5lDD5Ic+KPLr+zRaFnfpv/dHL0/0avoznd7IepiczZYeUi+l3vilOeIJjXnLh+mff9AG
hor3APAAzHgy0ERxSp/K+ucBNMOWDZICFVX/Xqe2j4T0IzG8vMJani//TWsF92m5LOQ7YLq2aJHR
UT8ng84MRzIIhg5BLE8gQmpQzXMsg4DcOpk1V5g01agf+H8vg8kD18oZ7DZZdF8c3y4S3f85IXSm
OBKCOfRckDOmXG3HqxeiaQqPLBMmlXocn/eXDsLLX/eXd0Dn1esjcvXw5x8wj5AY0joGrj0EjWZ7
pB6+f+JjIRiOOTS5lEEhkPflUX36+JSXai7fsodmYGFUG80O7+wBMUrYHCS1obWV8Z/SAj/cA0A0
sCK09oDlY0TBZSAoqsMiW3tgJEAaeGDd+qz1aAtQ5FBvy/vqf8Jp+v1Q/spF4A0ppnSpQgueX70R
DOUWIIMIpbOMvp2DBkGltQdsb2gbIAk8n5pGGd2DYNL7FIAVUDt0LqN3B4HCLYOX1pPCaAhcjNQo
nejV6BgFHr1hPRAmUMLXo38XIqpa904ANwd1AVrP4nTJ6OwFNxjS2QAkHLXGavRQCk69PzXUgj0E
gAbMx2iEgNN5rBTpNYGnCDE0PPJq1FdRj3Sjx7Wtex6MId0sII6ygKDIQKrHQvCwnRSbVGOO92j1
gEh1z4HciyPuPUOahbSWTTMRGP4ht2OLyOjdAfB9wcFq6ULaVhNVgTHsoAW491pCcIZUMbhSZFAL
oXcHwAADiQLXkoJJh9HAcVB39SLl9j+Wgo8agHIG4L1AZhm9M5EsMDXaZrLBt6Zxjo9I1ejoARxF
QuxmQG1ULaZa8fRIHVBvNapPqcaVYA4xgGiJAMz0OSn41hBXygJc2FwJvdsL8O4JnlvrRChzGMUA
lUj7KHAXDmGHFCfCPoiHJ/VpEwhniubyUYt4CgFQ4MeP3FII7hBvEiOauIEa/VOLtqJt0doEtj3k
7hsB1W/0Ysc6MqCgdeGgkS4lSuD92gUjbcMIR4G14xI3JnD3WggIq/hUT1DPUI++ScG0XEG3a+0C
Yqhk5knVWE3wqOMoeEiBHAR9pOrgyajWPT3aC6ZhSL2ClhQ4C75ne4DJnz8LvoORTIJECnrU6J0U
CH752q4zzNIe1FQUWtV6j8vvWC8GFrHmkRRPNb/3TgoQ3T7Jbv5qVsE2JR/pAqhoVtkJIBgjjzAK
EVdk0U+9gKdn6t6RnAgSaVStOZ1NgL8I/xitpKiEVqN3lwO1Z9p+oz0ilsZXpnyvXmXncsRn4BcK
dgi7q9E7OxEmaG2FIN4z5iDeY1sReC6rN4i6H5JKvVs9zp4UP2ldCqye6h3cIWk/J6PrMfkYUCTX
SL/Ve6TWvz26GuEpkOooPSmg7UAR+q7z6BceXwpcjabvQRdIsEaN3ukDnGfpiaclBdShjbVlw8v+
/VsfSwFvcojWwa1s6CH7tAsCIhua67cA6UhFGZDWev0djRAYhFoN2Cf9xxwkAu+RFGhraetKAdOA
LBKZdvILanRuBY9MI/Agi7pSJe8+LZ9DoG0TCJ6C8nnAXfVR7ypEEtFgv4jY1U/q0/JtuCs1z4Bt
DYGWEi+VdgpqtG9F4lMYhpwSxXjQs93PV6kVs0bsjAhhzc/w/O43DNpQOPiKXoPHqQXep11AXazu
IbCw/GAqIYXYbIKOJvRJNTsAI0Gj1Iekd04S1KbaqgDbyHIpnj+kkrvQK0mtYRN4WGG1mHpnFeAl
BLr3gQRP6A2By1x/6icWIrZTjWptrAb2St/0Ah2PNfUiABzYPqQ8uwkRIda2beQOIXUgKS8ta3q2
fpow1x/l39eL4C648sVXfD5sAlc3SQfOHDRYvVu/RLU0vz/3outzvQK2ro9B5/tjFWE2k2vFbFKj
f9YB7o32LmCVAIwgTm9OAas8PgXk1zANPMJKjZT6dy/Aa6dtIxE8g8DLFsilGt294Ay5G0fslibo
3kMpuKZullGQWCRb0XdNjKxjI4i3aLsCWnz0pvqlF+kxIDwbvJSGXiR/xPrpTdDYix0pYClRFkdm
HsKSw17plxSozzd1bQQiiX4ANLFxmZ5EkTxvCPGRL0Gm2lKqQxV9spoFW627F/CMTXrHwQj3fZXH
2lHuCIpdRoLTVaMWe4+kIFEk7VgaHiRUNlhLDfqgox192StAD4As11LonXYEVPik4+mvJlhIv1sE
UbAImpuwc1MqwLbXdDLpmb1Is0Hts0CzVoxBaJrcxivoRpH8oagLh9x8X88Cd7huRBUPkooNwMrk
EdTADD3WCJwFF2sKr+HxrPzs7fATauN7NdTpLIofVB1UNM2fK5f60R8crsanvze1P1LeIQU+rT+U
8sz62Y9lUn9rVQaooOnRj4cgqnpO88+bBT59dOtZh1Ud/uNlNM0m2f2MbgWUUO2a17ydJNRS/W88
+TpJJk8Lcx7f5M8/Wu95dCP8xcT5ojOvwJu1582gWly2J1bFJPoTLybLfJIfXlFV6VBPevj/zxbY
fjeUXhLF6SSOvqVZpztUXf+g+9bUdabZ5CE9vKW8dV1Xoj8zHWvvi+i+LFqTK2iy7uRn03iynWTT
45lr4Kv2zE2p2av02yuEUyZf2025anCx7lMukHr00N6FNWRVd+bX05ROYu2Z8ZwwxHRnvkTiUXSY
R23vGlOoO/HVw2TW2oBGDVPTnhc+p2UatU8kmU2uIO2plw/RpKNFaoSh9szptv3xaoCO7rQ3T3VT
nerWnpgJyvvF7iBTtS/q/LHu1G/SMsqfiLnOSurO/XYSLVvagwzU77he3k6yXTxZPhyLo4FU6L9y
nk/uZ2U+LYrWnm5SlNrzR/ezKJy0C41rkJz+1NK9PC1aOxsibckn6M+d0xYlhzmnpZvIVkhy4XfM
npZZd+rf8uLpsujoEGjsJays+9K3068ZFIhtadexSv2pN5P2vQV8QVKE+hNvX11OklU+i9rXOvNL
qPl3zH89zfJpS1M1lYO/Y/K30yq6b11jTC5Jkt8x+RfaDB1mEg3L1BJz1Z46zYrZq9NJlnJTtrdL
jRH+PQ84myy6Z582pr/BJHk3i9oSryF8um/9bhFjkbS9mibvpz11Ng27XA4KYqA78fvpcpnv4s2k
4yY0sUjd6T/M0ofpq6v8yd1WB/l0p/+Ylj/YiE387Pc84OlGbEBeutPfIf1pnk9bJkXDVaI/d9X2
KpuyLt15PxWT2UGFiE5pYnS6036eZgk3W2vmGlisPXP04x7JP+aO+SkX++X+JLqTT/Pi1bMNnut4
mK5c/hHl9+kyj1qWW5OJ0Z77x7ReL0rluUjTd1zf0/jTgRjluX/WDq7JX9zH00n2t38BAAD//w==
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817BF-EE2B-409A-8A06-B628D8CC38C4}">
  <sheetPr codeName="Chart10"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FC6113D-4762-4875-8E8C-5F86DBAC881B}">
  <sheetPr codeName="Chart9"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752AF3E-5E95-487A-BA5B-9C0A7E83DB87}">
  <sheetPr codeName="Chart4"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43E642-A3AC-4E41-90AF-EBCDE0B8D542}">
  <sheetPr codeName="Chart3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6.svg"/><Relationship Id="rId18" Type="http://schemas.openxmlformats.org/officeDocument/2006/relationships/image" Target="../media/image11.png"/><Relationship Id="rId3" Type="http://schemas.openxmlformats.org/officeDocument/2006/relationships/hyperlink" Target="#Entrada!A1"/><Relationship Id="rId7" Type="http://schemas.openxmlformats.org/officeDocument/2006/relationships/hyperlink" Target="#Log!A1"/><Relationship Id="rId12" Type="http://schemas.openxmlformats.org/officeDocument/2006/relationships/image" Target="../media/image5.png"/><Relationship Id="rId17" Type="http://schemas.openxmlformats.org/officeDocument/2006/relationships/image" Target="../media/image10.svg"/><Relationship Id="rId2" Type="http://schemas.openxmlformats.org/officeDocument/2006/relationships/hyperlink" Target="#Dashboard!A1"/><Relationship Id="rId16" Type="http://schemas.openxmlformats.org/officeDocument/2006/relationships/image" Target="../media/image9.png"/><Relationship Id="rId1" Type="http://schemas.microsoft.com/office/2014/relationships/chartEx" Target="../charts/chartEx1.xml"/><Relationship Id="rId6" Type="http://schemas.openxmlformats.org/officeDocument/2006/relationships/hyperlink" Target="#Config!A1"/><Relationship Id="rId11" Type="http://schemas.openxmlformats.org/officeDocument/2006/relationships/image" Target="../media/image4.svg"/><Relationship Id="rId5" Type="http://schemas.openxmlformats.org/officeDocument/2006/relationships/hyperlink" Target="#Map!A1"/><Relationship Id="rId15" Type="http://schemas.openxmlformats.org/officeDocument/2006/relationships/image" Target="../media/image8.svg"/><Relationship Id="rId10" Type="http://schemas.openxmlformats.org/officeDocument/2006/relationships/image" Target="../media/image3.png"/><Relationship Id="rId19" Type="http://schemas.openxmlformats.org/officeDocument/2006/relationships/image" Target="../media/image12.svg"/><Relationship Id="rId4" Type="http://schemas.openxmlformats.org/officeDocument/2006/relationships/hyperlink" Target="#Data!A1"/><Relationship Id="rId9" Type="http://schemas.openxmlformats.org/officeDocument/2006/relationships/image" Target="../media/image2.svg"/><Relationship Id="rId1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13.png"/><Relationship Id="rId18" Type="http://schemas.openxmlformats.org/officeDocument/2006/relationships/image" Target="../media/image16.svg"/><Relationship Id="rId3" Type="http://schemas.openxmlformats.org/officeDocument/2006/relationships/hyperlink" Target="#Data!A1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17" Type="http://schemas.openxmlformats.org/officeDocument/2006/relationships/image" Target="../media/image15.png"/><Relationship Id="rId2" Type="http://schemas.openxmlformats.org/officeDocument/2006/relationships/hyperlink" Target="#Entrada!A1"/><Relationship Id="rId16" Type="http://schemas.openxmlformats.org/officeDocument/2006/relationships/image" Target="../media/image10.svg"/><Relationship Id="rId1" Type="http://schemas.openxmlformats.org/officeDocument/2006/relationships/hyperlink" Target="#Dashboard!A1"/><Relationship Id="rId6" Type="http://schemas.openxmlformats.org/officeDocument/2006/relationships/hyperlink" Target="#Log!A1"/><Relationship Id="rId11" Type="http://schemas.openxmlformats.org/officeDocument/2006/relationships/image" Target="../media/image5.png"/><Relationship Id="rId5" Type="http://schemas.openxmlformats.org/officeDocument/2006/relationships/hyperlink" Target="#Config!A1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4" Type="http://schemas.openxmlformats.org/officeDocument/2006/relationships/hyperlink" Target="#Map!A1"/><Relationship Id="rId9" Type="http://schemas.openxmlformats.org/officeDocument/2006/relationships/image" Target="../media/image3.png"/><Relationship Id="rId14" Type="http://schemas.openxmlformats.org/officeDocument/2006/relationships/image" Target="../media/image14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7.png"/><Relationship Id="rId18" Type="http://schemas.openxmlformats.org/officeDocument/2006/relationships/image" Target="../media/image20.svg"/><Relationship Id="rId3" Type="http://schemas.openxmlformats.org/officeDocument/2006/relationships/hyperlink" Target="#Data!A1"/><Relationship Id="rId7" Type="http://schemas.openxmlformats.org/officeDocument/2006/relationships/image" Target="../media/image17.png"/><Relationship Id="rId12" Type="http://schemas.openxmlformats.org/officeDocument/2006/relationships/image" Target="../media/image6.svg"/><Relationship Id="rId17" Type="http://schemas.openxmlformats.org/officeDocument/2006/relationships/image" Target="../media/image15.png"/><Relationship Id="rId2" Type="http://schemas.openxmlformats.org/officeDocument/2006/relationships/hyperlink" Target="#Entrada!A1"/><Relationship Id="rId16" Type="http://schemas.openxmlformats.org/officeDocument/2006/relationships/image" Target="../media/image10.svg"/><Relationship Id="rId1" Type="http://schemas.openxmlformats.org/officeDocument/2006/relationships/hyperlink" Target="#Dashboard!A1"/><Relationship Id="rId6" Type="http://schemas.openxmlformats.org/officeDocument/2006/relationships/hyperlink" Target="#Log!A1"/><Relationship Id="rId11" Type="http://schemas.openxmlformats.org/officeDocument/2006/relationships/image" Target="../media/image5.png"/><Relationship Id="rId5" Type="http://schemas.openxmlformats.org/officeDocument/2006/relationships/hyperlink" Target="#Config!A1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4" Type="http://schemas.openxmlformats.org/officeDocument/2006/relationships/hyperlink" Target="#Map!A1"/><Relationship Id="rId9" Type="http://schemas.openxmlformats.org/officeDocument/2006/relationships/image" Target="../media/image3.png"/><Relationship Id="rId14" Type="http://schemas.openxmlformats.org/officeDocument/2006/relationships/image" Target="../media/image1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18" Type="http://schemas.openxmlformats.org/officeDocument/2006/relationships/image" Target="../media/image16.svg"/><Relationship Id="rId3" Type="http://schemas.openxmlformats.org/officeDocument/2006/relationships/hyperlink" Target="#Data!A1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17" Type="http://schemas.openxmlformats.org/officeDocument/2006/relationships/image" Target="../media/image15.png"/><Relationship Id="rId2" Type="http://schemas.openxmlformats.org/officeDocument/2006/relationships/hyperlink" Target="#Entrada!A1"/><Relationship Id="rId16" Type="http://schemas.openxmlformats.org/officeDocument/2006/relationships/image" Target="../media/image22.svg"/><Relationship Id="rId1" Type="http://schemas.openxmlformats.org/officeDocument/2006/relationships/hyperlink" Target="#Dashboard!A1"/><Relationship Id="rId6" Type="http://schemas.openxmlformats.org/officeDocument/2006/relationships/hyperlink" Target="#Log!A1"/><Relationship Id="rId11" Type="http://schemas.openxmlformats.org/officeDocument/2006/relationships/image" Target="../media/image5.png"/><Relationship Id="rId5" Type="http://schemas.openxmlformats.org/officeDocument/2006/relationships/hyperlink" Target="#Config!A1"/><Relationship Id="rId15" Type="http://schemas.openxmlformats.org/officeDocument/2006/relationships/image" Target="../media/image21.png"/><Relationship Id="rId10" Type="http://schemas.openxmlformats.org/officeDocument/2006/relationships/image" Target="../media/image4.svg"/><Relationship Id="rId4" Type="http://schemas.openxmlformats.org/officeDocument/2006/relationships/hyperlink" Target="#Map!A1"/><Relationship Id="rId9" Type="http://schemas.openxmlformats.org/officeDocument/2006/relationships/image" Target="../media/image3.png"/><Relationship Id="rId14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18" Type="http://schemas.openxmlformats.org/officeDocument/2006/relationships/image" Target="../media/image20.svg"/><Relationship Id="rId3" Type="http://schemas.openxmlformats.org/officeDocument/2006/relationships/hyperlink" Target="#Data!A1"/><Relationship Id="rId7" Type="http://schemas.openxmlformats.org/officeDocument/2006/relationships/image" Target="../media/image1.png"/><Relationship Id="rId12" Type="http://schemas.openxmlformats.org/officeDocument/2006/relationships/image" Target="../media/image24.svg"/><Relationship Id="rId17" Type="http://schemas.openxmlformats.org/officeDocument/2006/relationships/image" Target="../media/image15.png"/><Relationship Id="rId2" Type="http://schemas.openxmlformats.org/officeDocument/2006/relationships/hyperlink" Target="#Entrada!A1"/><Relationship Id="rId16" Type="http://schemas.openxmlformats.org/officeDocument/2006/relationships/image" Target="../media/image10.svg"/><Relationship Id="rId1" Type="http://schemas.openxmlformats.org/officeDocument/2006/relationships/hyperlink" Target="#Dashboard!A1"/><Relationship Id="rId6" Type="http://schemas.openxmlformats.org/officeDocument/2006/relationships/hyperlink" Target="#Log!A1"/><Relationship Id="rId11" Type="http://schemas.openxmlformats.org/officeDocument/2006/relationships/image" Target="../media/image23.png"/><Relationship Id="rId5" Type="http://schemas.openxmlformats.org/officeDocument/2006/relationships/hyperlink" Target="#Config!A1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4" Type="http://schemas.openxmlformats.org/officeDocument/2006/relationships/hyperlink" Target="#Map!A1"/><Relationship Id="rId9" Type="http://schemas.openxmlformats.org/officeDocument/2006/relationships/image" Target="../media/image3.png"/><Relationship Id="rId14" Type="http://schemas.openxmlformats.org/officeDocument/2006/relationships/image" Target="../media/image19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18" Type="http://schemas.openxmlformats.org/officeDocument/2006/relationships/image" Target="../media/image16.svg"/><Relationship Id="rId3" Type="http://schemas.openxmlformats.org/officeDocument/2006/relationships/hyperlink" Target="#Data!A1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17" Type="http://schemas.openxmlformats.org/officeDocument/2006/relationships/image" Target="../media/image15.png"/><Relationship Id="rId2" Type="http://schemas.openxmlformats.org/officeDocument/2006/relationships/hyperlink" Target="#Entrada!A1"/><Relationship Id="rId16" Type="http://schemas.openxmlformats.org/officeDocument/2006/relationships/image" Target="../media/image10.svg"/><Relationship Id="rId1" Type="http://schemas.openxmlformats.org/officeDocument/2006/relationships/hyperlink" Target="#Dashboard!A1"/><Relationship Id="rId6" Type="http://schemas.openxmlformats.org/officeDocument/2006/relationships/hyperlink" Target="#Log!A1"/><Relationship Id="rId11" Type="http://schemas.openxmlformats.org/officeDocument/2006/relationships/image" Target="../media/image5.png"/><Relationship Id="rId5" Type="http://schemas.openxmlformats.org/officeDocument/2006/relationships/hyperlink" Target="#Config!A1"/><Relationship Id="rId15" Type="http://schemas.openxmlformats.org/officeDocument/2006/relationships/image" Target="../media/image9.png"/><Relationship Id="rId10" Type="http://schemas.openxmlformats.org/officeDocument/2006/relationships/image" Target="../media/image26.svg"/><Relationship Id="rId4" Type="http://schemas.openxmlformats.org/officeDocument/2006/relationships/hyperlink" Target="#Map!A1"/><Relationship Id="rId9" Type="http://schemas.openxmlformats.org/officeDocument/2006/relationships/image" Target="../media/image25.png"/><Relationship Id="rId1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820843" cy="7852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E6F890-D7A4-E484-70DB-CC1CA8CEDC6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0820843" cy="7852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39FFEF-C3A5-C5B2-FB71-DA1C967175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820843" cy="7852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82758A-9521-E673-D7F4-C273156B50E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0820843" cy="7852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126738-6432-1C79-2E02-1E002C395F4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11431</xdr:colOff>
      <xdr:row>15</xdr:row>
      <xdr:rowOff>19049</xdr:rowOff>
    </xdr:from>
    <xdr:to>
      <xdr:col>12</xdr:col>
      <xdr:colOff>3625216</xdr:colOff>
      <xdr:row>35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3">
              <a:extLst>
                <a:ext uri="{FF2B5EF4-FFF2-40B4-BE49-F238E27FC236}">
                  <a16:creationId xmlns:a16="http://schemas.microsoft.com/office/drawing/2014/main" id="{9DD01586-8FF1-EE98-7AE6-81A969A61B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4666" y="2766059"/>
              <a:ext cx="9450705" cy="3688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10173</xdr:colOff>
      <xdr:row>0</xdr:row>
      <xdr:rowOff>15240</xdr:rowOff>
    </xdr:from>
    <xdr:to>
      <xdr:col>3</xdr:col>
      <xdr:colOff>19050</xdr:colOff>
      <xdr:row>36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16A5704-3AB3-D112-B4DF-2DA78DDDF8F2}"/>
            </a:ext>
          </a:extLst>
        </xdr:cNvPr>
        <xdr:cNvSpPr/>
      </xdr:nvSpPr>
      <xdr:spPr>
        <a:xfrm>
          <a:off x="10173" y="15240"/>
          <a:ext cx="2418702" cy="655701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76200</xdr:colOff>
      <xdr:row>2</xdr:row>
      <xdr:rowOff>123825</xdr:rowOff>
    </xdr:from>
    <xdr:to>
      <xdr:col>2</xdr:col>
      <xdr:colOff>323850</xdr:colOff>
      <xdr:row>5</xdr:row>
      <xdr:rowOff>133350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FBA0B4E1-AE5F-E5F1-1C65-76487834A6C4}"/>
            </a:ext>
          </a:extLst>
        </xdr:cNvPr>
        <xdr:cNvSpPr/>
      </xdr:nvSpPr>
      <xdr:spPr>
        <a:xfrm>
          <a:off x="76200" y="485775"/>
          <a:ext cx="2105025" cy="58102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4" name="TextBox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DE04B-CE90-E0A4-7D7C-2B00B545FBEB}"/>
            </a:ext>
          </a:extLst>
        </xdr:cNvPr>
        <xdr:cNvSpPr txBox="1"/>
      </xdr:nvSpPr>
      <xdr:spPr>
        <a:xfrm>
          <a:off x="295275" y="504825"/>
          <a:ext cx="2205990" cy="5524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151145-7E45-4EDF-BF49-5415F1F13982}"/>
            </a:ext>
          </a:extLst>
        </xdr:cNvPr>
        <xdr:cNvSpPr txBox="1"/>
      </xdr:nvSpPr>
      <xdr:spPr>
        <a:xfrm>
          <a:off x="295275" y="1434465"/>
          <a:ext cx="2135504" cy="5467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7" name="TextBox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B70FD8-1994-44B2-848D-91A984FC2750}"/>
            </a:ext>
          </a:extLst>
        </xdr:cNvPr>
        <xdr:cNvSpPr txBox="1"/>
      </xdr:nvSpPr>
      <xdr:spPr>
        <a:xfrm>
          <a:off x="295275" y="2343150"/>
          <a:ext cx="2198369" cy="53911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8" name="TextBox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1C6B66B-1627-4327-BA7F-D9C3B080B743}"/>
            </a:ext>
          </a:extLst>
        </xdr:cNvPr>
        <xdr:cNvSpPr txBox="1"/>
      </xdr:nvSpPr>
      <xdr:spPr>
        <a:xfrm>
          <a:off x="295275" y="3246118"/>
          <a:ext cx="2196465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9" name="TextBox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128FCD6-2C3E-40A6-99ED-6240D3545394}"/>
            </a:ext>
          </a:extLst>
        </xdr:cNvPr>
        <xdr:cNvSpPr txBox="1"/>
      </xdr:nvSpPr>
      <xdr:spPr>
        <a:xfrm>
          <a:off x="295275" y="4152900"/>
          <a:ext cx="2225040" cy="53911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10" name="TextBox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3B25465-7947-4249-B6A7-1E43952A494A}"/>
            </a:ext>
          </a:extLst>
        </xdr:cNvPr>
        <xdr:cNvSpPr txBox="1"/>
      </xdr:nvSpPr>
      <xdr:spPr>
        <a:xfrm>
          <a:off x="295275" y="5038725"/>
          <a:ext cx="2238375" cy="5619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60074</xdr:rowOff>
    </xdr:to>
    <xdr:pic>
      <xdr:nvPicPr>
        <xdr:cNvPr id="12" name="Graphic 11" descr="Table with solid fill">
          <a:extLst>
            <a:ext uri="{FF2B5EF4-FFF2-40B4-BE49-F238E27FC236}">
              <a16:creationId xmlns:a16="http://schemas.microsoft.com/office/drawing/2014/main" id="{92F97055-4124-724D-0C57-920F0C823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2402" y="2402220"/>
          <a:ext cx="457200" cy="40105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171973</xdr:rowOff>
    </xdr:to>
    <xdr:pic>
      <xdr:nvPicPr>
        <xdr:cNvPr id="14" name="Graphic 13" descr="Warning with solid fill">
          <a:extLst>
            <a:ext uri="{FF2B5EF4-FFF2-40B4-BE49-F238E27FC236}">
              <a16:creationId xmlns:a16="http://schemas.microsoft.com/office/drawing/2014/main" id="{D06D1958-C788-6D21-02C5-E22AFEC37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52402" y="5149215"/>
          <a:ext cx="457200" cy="47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16328</xdr:rowOff>
    </xdr:to>
    <xdr:pic>
      <xdr:nvPicPr>
        <xdr:cNvPr id="16" name="Graphic 15" descr="Gears with solid fill">
          <a:extLst>
            <a:ext uri="{FF2B5EF4-FFF2-40B4-BE49-F238E27FC236}">
              <a16:creationId xmlns:a16="http://schemas.microsoft.com/office/drawing/2014/main" id="{8AE52AD3-8CC5-73A2-C0EC-6784BF77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52402" y="4106514"/>
          <a:ext cx="457200" cy="46657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18" name="Graphic 17" descr="Enter with solid fill">
          <a:extLst>
            <a:ext uri="{FF2B5EF4-FFF2-40B4-BE49-F238E27FC236}">
              <a16:creationId xmlns:a16="http://schemas.microsoft.com/office/drawing/2014/main" id="{A482343E-B09E-A4F9-D244-68C7BAAD2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52402" y="1499231"/>
          <a:ext cx="457200" cy="48840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58625</xdr:rowOff>
    </xdr:to>
    <xdr:pic>
      <xdr:nvPicPr>
        <xdr:cNvPr id="20" name="Graphic 19" descr="North America with solid fill">
          <a:extLst>
            <a:ext uri="{FF2B5EF4-FFF2-40B4-BE49-F238E27FC236}">
              <a16:creationId xmlns:a16="http://schemas.microsoft.com/office/drawing/2014/main" id="{79149617-2194-F763-631E-50C931C6F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2402" y="3305862"/>
          <a:ext cx="457200" cy="39702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19516</xdr:rowOff>
    </xdr:to>
    <xdr:pic>
      <xdr:nvPicPr>
        <xdr:cNvPr id="22" name="Graphic 21" descr="Gauge with solid fill">
          <a:extLst>
            <a:ext uri="{FF2B5EF4-FFF2-40B4-BE49-F238E27FC236}">
              <a16:creationId xmlns:a16="http://schemas.microsoft.com/office/drawing/2014/main" id="{0642E60D-5B1A-0173-2FF3-E981A67DB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52402" y="534736"/>
          <a:ext cx="457200" cy="41442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15241</xdr:rowOff>
    </xdr:from>
    <xdr:to>
      <xdr:col>3</xdr:col>
      <xdr:colOff>9525</xdr:colOff>
      <xdr:row>36</xdr:row>
      <xdr:rowOff>38101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6149438-2485-D54D-5C89-27051B2A8F4F}"/>
            </a:ext>
          </a:extLst>
        </xdr:cNvPr>
        <xdr:cNvSpPr/>
      </xdr:nvSpPr>
      <xdr:spPr>
        <a:xfrm>
          <a:off x="2124075" y="15241"/>
          <a:ext cx="295275" cy="65665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358140</xdr:colOff>
      <xdr:row>7</xdr:row>
      <xdr:rowOff>173355</xdr:rowOff>
    </xdr:from>
    <xdr:to>
      <xdr:col>10</xdr:col>
      <xdr:colOff>586740</xdr:colOff>
      <xdr:row>14</xdr:row>
      <xdr:rowOff>11430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7D8D123-448D-04C3-AB0D-EF21FDF285A7}"/>
            </a:ext>
          </a:extLst>
        </xdr:cNvPr>
        <xdr:cNvSpPr>
          <a:spLocks/>
        </xdr:cNvSpPr>
      </xdr:nvSpPr>
      <xdr:spPr>
        <a:xfrm>
          <a:off x="4596765" y="1468755"/>
          <a:ext cx="2914650" cy="1104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303530</xdr:colOff>
      <xdr:row>7</xdr:row>
      <xdr:rowOff>167640</xdr:rowOff>
    </xdr:from>
    <xdr:to>
      <xdr:col>12</xdr:col>
      <xdr:colOff>1903730</xdr:colOff>
      <xdr:row>13</xdr:row>
      <xdr:rowOff>173355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25C283A-573F-4FAB-A0FA-E74B49BB7998}"/>
            </a:ext>
          </a:extLst>
        </xdr:cNvPr>
        <xdr:cNvSpPr>
          <a:spLocks/>
        </xdr:cNvSpPr>
      </xdr:nvSpPr>
      <xdr:spPr>
        <a:xfrm>
          <a:off x="7837805" y="1463040"/>
          <a:ext cx="2924175" cy="109156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2230120</xdr:colOff>
      <xdr:row>7</xdr:row>
      <xdr:rowOff>167640</xdr:rowOff>
    </xdr:from>
    <xdr:to>
      <xdr:col>14</xdr:col>
      <xdr:colOff>325120</xdr:colOff>
      <xdr:row>13</xdr:row>
      <xdr:rowOff>173355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E3EC58D5-9E31-4A9E-BFA5-FA524B6F20E8}"/>
            </a:ext>
          </a:extLst>
        </xdr:cNvPr>
        <xdr:cNvSpPr>
          <a:spLocks/>
        </xdr:cNvSpPr>
      </xdr:nvSpPr>
      <xdr:spPr>
        <a:xfrm>
          <a:off x="11088370" y="1463040"/>
          <a:ext cx="2914650" cy="109156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53340</xdr:colOff>
      <xdr:row>7</xdr:row>
      <xdr:rowOff>171450</xdr:rowOff>
    </xdr:from>
    <xdr:to>
      <xdr:col>20</xdr:col>
      <xdr:colOff>426720</xdr:colOff>
      <xdr:row>14</xdr:row>
      <xdr:rowOff>1905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3044F0D0-1BE7-4DBC-8FCC-7D6BA6C89D68}"/>
            </a:ext>
          </a:extLst>
        </xdr:cNvPr>
        <xdr:cNvSpPr>
          <a:spLocks/>
        </xdr:cNvSpPr>
      </xdr:nvSpPr>
      <xdr:spPr>
        <a:xfrm>
          <a:off x="14340840" y="1466850"/>
          <a:ext cx="2926080" cy="109728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142875</xdr:colOff>
      <xdr:row>8</xdr:row>
      <xdr:rowOff>53340</xdr:rowOff>
    </xdr:from>
    <xdr:to>
      <xdr:col>10</xdr:col>
      <xdr:colOff>516255</xdr:colOff>
      <xdr:row>12</xdr:row>
      <xdr:rowOff>20955</xdr:rowOff>
    </xdr:to>
    <xdr:sp macro="" textlink="Dashboard!N17">
      <xdr:nvSpPr>
        <xdr:cNvPr id="25" name="TextBox 24">
          <a:extLst>
            <a:ext uri="{FF2B5EF4-FFF2-40B4-BE49-F238E27FC236}">
              <a16:creationId xmlns:a16="http://schemas.microsoft.com/office/drawing/2014/main" id="{33EB2EB5-120D-82FD-1E32-26044FF98168}"/>
            </a:ext>
          </a:extLst>
        </xdr:cNvPr>
        <xdr:cNvSpPr txBox="1"/>
      </xdr:nvSpPr>
      <xdr:spPr>
        <a:xfrm>
          <a:off x="5600700" y="1529715"/>
          <a:ext cx="1840230" cy="6915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E729A5-1272-406C-B2E3-261BCE0B9FD3}" type="TxLink">
            <a:rPr lang="en-US" sz="3200" b="1" i="0" u="none" strike="noStrike">
              <a:solidFill>
                <a:srgbClr val="000000"/>
              </a:solidFill>
              <a:latin typeface="Seoge UI Bold"/>
              <a:ea typeface="Calibri"/>
              <a:cs typeface="Calibri"/>
            </a:rPr>
            <a:pPr algn="ctr"/>
            <a:t>AR</a:t>
          </a:fld>
          <a:endParaRPr lang="en-US" sz="3200" b="1">
            <a:latin typeface="Seoge UI Bold"/>
          </a:endParaRPr>
        </a:p>
      </xdr:txBody>
    </xdr:sp>
    <xdr:clientData/>
  </xdr:twoCellAnchor>
  <xdr:twoCellAnchor>
    <xdr:from>
      <xdr:col>11</xdr:col>
      <xdr:colOff>1303020</xdr:colOff>
      <xdr:row>8</xdr:row>
      <xdr:rowOff>57150</xdr:rowOff>
    </xdr:from>
    <xdr:to>
      <xdr:col>12</xdr:col>
      <xdr:colOff>1815465</xdr:colOff>
      <xdr:row>12</xdr:row>
      <xdr:rowOff>17145</xdr:rowOff>
    </xdr:to>
    <xdr:sp macro="" textlink="Dashboard!N23">
      <xdr:nvSpPr>
        <xdr:cNvPr id="26" name="TextBox 25">
          <a:extLst>
            <a:ext uri="{FF2B5EF4-FFF2-40B4-BE49-F238E27FC236}">
              <a16:creationId xmlns:a16="http://schemas.microsoft.com/office/drawing/2014/main" id="{AF078AC5-1290-48EE-9E2A-D6E05DB8A826}"/>
            </a:ext>
          </a:extLst>
        </xdr:cNvPr>
        <xdr:cNvSpPr txBox="1"/>
      </xdr:nvSpPr>
      <xdr:spPr>
        <a:xfrm>
          <a:off x="8837295" y="1533525"/>
          <a:ext cx="1836420" cy="6838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B9DD840-7DA4-44DC-9D8A-BFB3720AE872}" type="TxLink">
            <a:rPr lang="en-US" sz="3200" b="1" i="0" u="none" strike="noStrike">
              <a:solidFill>
                <a:srgbClr val="000000"/>
              </a:solidFill>
              <a:latin typeface="Seoge UI Bold"/>
              <a:ea typeface="Calibri"/>
              <a:cs typeface="Calibri"/>
            </a:rPr>
            <a:pPr algn="ctr"/>
            <a:t>TERM</a:t>
          </a:fld>
          <a:endParaRPr lang="en-US" sz="3200" b="1">
            <a:latin typeface="Seoge UI Bold"/>
          </a:endParaRPr>
        </a:p>
      </xdr:txBody>
    </xdr:sp>
    <xdr:clientData/>
  </xdr:twoCellAnchor>
  <xdr:twoCellAnchor>
    <xdr:from>
      <xdr:col>12</xdr:col>
      <xdr:colOff>3246120</xdr:colOff>
      <xdr:row>8</xdr:row>
      <xdr:rowOff>38100</xdr:rowOff>
    </xdr:from>
    <xdr:to>
      <xdr:col>14</xdr:col>
      <xdr:colOff>262890</xdr:colOff>
      <xdr:row>11</xdr:row>
      <xdr:rowOff>179070</xdr:rowOff>
    </xdr:to>
    <xdr:sp macro="" textlink="Dashboard!N32">
      <xdr:nvSpPr>
        <xdr:cNvPr id="27" name="TextBox 26">
          <a:extLst>
            <a:ext uri="{FF2B5EF4-FFF2-40B4-BE49-F238E27FC236}">
              <a16:creationId xmlns:a16="http://schemas.microsoft.com/office/drawing/2014/main" id="{69995B4B-5E31-4D73-894A-8455B0FC6585}"/>
            </a:ext>
          </a:extLst>
        </xdr:cNvPr>
        <xdr:cNvSpPr txBox="1"/>
      </xdr:nvSpPr>
      <xdr:spPr>
        <a:xfrm>
          <a:off x="12104370" y="1514475"/>
          <a:ext cx="1836420" cy="6838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9D7836F-CAB2-467E-BB5E-A151FBCEB92F}" type="TxLink">
            <a:rPr lang="en-US" sz="3200" b="1" i="0" u="none" strike="noStrike">
              <a:solidFill>
                <a:srgbClr val="000000"/>
              </a:solidFill>
              <a:latin typeface="Seoge UI Bold"/>
              <a:ea typeface="Calibri" panose="020F0502020204030204" pitchFamily="34" charset="0"/>
              <a:cs typeface="Calibri" panose="020F0502020204030204" pitchFamily="34" charset="0"/>
            </a:rPr>
            <a:pPr algn="ctr"/>
            <a:t>7</a:t>
          </a:fld>
          <a:endParaRPr lang="en-US" sz="3200" b="1">
            <a:latin typeface="Seoge UI Bold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352425</xdr:colOff>
      <xdr:row>8</xdr:row>
      <xdr:rowOff>53340</xdr:rowOff>
    </xdr:from>
    <xdr:to>
      <xdr:col>20</xdr:col>
      <xdr:colOff>348615</xdr:colOff>
      <xdr:row>12</xdr:row>
      <xdr:rowOff>20955</xdr:rowOff>
    </xdr:to>
    <xdr:sp macro="" textlink="Dashboard!N20">
      <xdr:nvSpPr>
        <xdr:cNvPr id="29" name="TextBox 28">
          <a:extLst>
            <a:ext uri="{FF2B5EF4-FFF2-40B4-BE49-F238E27FC236}">
              <a16:creationId xmlns:a16="http://schemas.microsoft.com/office/drawing/2014/main" id="{EAEBC614-7186-44D9-81B9-9CDA0173C4CC}"/>
            </a:ext>
          </a:extLst>
        </xdr:cNvPr>
        <xdr:cNvSpPr txBox="1"/>
      </xdr:nvSpPr>
      <xdr:spPr>
        <a:xfrm>
          <a:off x="15363825" y="1529715"/>
          <a:ext cx="1824990" cy="6915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79686B6-F377-4447-8931-1D00811AEEF5}" type="TxLink">
            <a:rPr lang="en-US" sz="3200" b="1" i="0" u="none" strike="noStrike">
              <a:solidFill>
                <a:srgbClr val="000000"/>
              </a:solidFill>
              <a:latin typeface="Seoge UI Bold"/>
              <a:ea typeface="Calibri"/>
              <a:cs typeface="Calibri"/>
            </a:rPr>
            <a:pPr algn="ctr"/>
            <a:t>Si</a:t>
          </a:fld>
          <a:endParaRPr lang="en-US" sz="3200" b="1">
            <a:latin typeface="Seoge UI Bold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6363</xdr:colOff>
      <xdr:row>0</xdr:row>
      <xdr:rowOff>15240</xdr:rowOff>
    </xdr:from>
    <xdr:to>
      <xdr:col>3</xdr:col>
      <xdr:colOff>19050</xdr:colOff>
      <xdr:row>36</xdr:row>
      <xdr:rowOff>59055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BFC0C9A-1BEC-46A6-BE27-8958C0EF9D27}"/>
            </a:ext>
          </a:extLst>
        </xdr:cNvPr>
        <xdr:cNvSpPr/>
      </xdr:nvSpPr>
      <xdr:spPr>
        <a:xfrm>
          <a:off x="8268" y="19050"/>
          <a:ext cx="2416797" cy="657987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74295</xdr:colOff>
      <xdr:row>7</xdr:row>
      <xdr:rowOff>121920</xdr:rowOff>
    </xdr:from>
    <xdr:to>
      <xdr:col>2</xdr:col>
      <xdr:colOff>325755</xdr:colOff>
      <xdr:row>11</xdr:row>
      <xdr:rowOff>0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A6D2DD1F-4046-4F16-9FD1-9CCE3C53EB1C}"/>
            </a:ext>
          </a:extLst>
        </xdr:cNvPr>
        <xdr:cNvSpPr/>
      </xdr:nvSpPr>
      <xdr:spPr>
        <a:xfrm>
          <a:off x="74295" y="1388745"/>
          <a:ext cx="2108835" cy="60198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34" name="TextBox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20E4F6-E8BB-4097-BF03-6FE8C97E4439}"/>
            </a:ext>
          </a:extLst>
        </xdr:cNvPr>
        <xdr:cNvSpPr txBox="1"/>
      </xdr:nvSpPr>
      <xdr:spPr>
        <a:xfrm>
          <a:off x="293370" y="502920"/>
          <a:ext cx="2150745" cy="5562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35" name="TextBox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5EBC2B-2020-419D-B1CB-148A0B2A4924}"/>
            </a:ext>
          </a:extLst>
        </xdr:cNvPr>
        <xdr:cNvSpPr txBox="1"/>
      </xdr:nvSpPr>
      <xdr:spPr>
        <a:xfrm>
          <a:off x="293370" y="1430655"/>
          <a:ext cx="2118359" cy="5486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36" name="TextBox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02BBF7-FF16-48B1-89CC-0E61985AF5FF}"/>
            </a:ext>
          </a:extLst>
        </xdr:cNvPr>
        <xdr:cNvSpPr txBox="1"/>
      </xdr:nvSpPr>
      <xdr:spPr>
        <a:xfrm>
          <a:off x="293370" y="2341245"/>
          <a:ext cx="2139314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37" name="TextBox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53A36DC-F0B2-4D42-8C2B-052F9454A6F1}"/>
            </a:ext>
          </a:extLst>
        </xdr:cNvPr>
        <xdr:cNvSpPr txBox="1"/>
      </xdr:nvSpPr>
      <xdr:spPr>
        <a:xfrm>
          <a:off x="293370" y="3242308"/>
          <a:ext cx="2137410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38" name="TextBox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911EE2-28EC-4A16-B4CC-31E271E4E767}"/>
            </a:ext>
          </a:extLst>
        </xdr:cNvPr>
        <xdr:cNvSpPr txBox="1"/>
      </xdr:nvSpPr>
      <xdr:spPr>
        <a:xfrm>
          <a:off x="293370" y="4150995"/>
          <a:ext cx="2173605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39" name="TextBox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06EDFB6-7FED-4B41-BE3D-063552DB0BA5}"/>
            </a:ext>
          </a:extLst>
        </xdr:cNvPr>
        <xdr:cNvSpPr txBox="1"/>
      </xdr:nvSpPr>
      <xdr:spPr>
        <a:xfrm>
          <a:off x="293370" y="5040630"/>
          <a:ext cx="2181225" cy="5581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56264</xdr:rowOff>
    </xdr:to>
    <xdr:pic>
      <xdr:nvPicPr>
        <xdr:cNvPr id="40" name="Graphic 39" descr="Table with solid fill">
          <a:extLst>
            <a:ext uri="{FF2B5EF4-FFF2-40B4-BE49-F238E27FC236}">
              <a16:creationId xmlns:a16="http://schemas.microsoft.com/office/drawing/2014/main" id="{0EC5F061-E6A2-4D66-B717-69F1EE09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2402" y="2398410"/>
          <a:ext cx="457200" cy="40105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171973</xdr:rowOff>
    </xdr:to>
    <xdr:pic>
      <xdr:nvPicPr>
        <xdr:cNvPr id="41" name="Graphic 40" descr="Warning with solid fill">
          <a:extLst>
            <a:ext uri="{FF2B5EF4-FFF2-40B4-BE49-F238E27FC236}">
              <a16:creationId xmlns:a16="http://schemas.microsoft.com/office/drawing/2014/main" id="{8BD13433-A047-4167-A5D5-2D72C19C7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2402" y="5153025"/>
          <a:ext cx="457200" cy="47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16328</xdr:rowOff>
    </xdr:to>
    <xdr:pic>
      <xdr:nvPicPr>
        <xdr:cNvPr id="42" name="Graphic 41" descr="Gears with solid fill">
          <a:extLst>
            <a:ext uri="{FF2B5EF4-FFF2-40B4-BE49-F238E27FC236}">
              <a16:creationId xmlns:a16="http://schemas.microsoft.com/office/drawing/2014/main" id="{DD0BDABB-E633-47F1-B614-27BCC0AC1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2" y="4102704"/>
          <a:ext cx="457200" cy="46657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43" name="Graphic 42" descr="Enter with solid fill">
          <a:extLst>
            <a:ext uri="{FF2B5EF4-FFF2-40B4-BE49-F238E27FC236}">
              <a16:creationId xmlns:a16="http://schemas.microsoft.com/office/drawing/2014/main" id="{A55CC9FD-D343-4F25-A66D-730D12A85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2" y="1495421"/>
          <a:ext cx="457200" cy="49221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58625</xdr:rowOff>
    </xdr:to>
    <xdr:pic>
      <xdr:nvPicPr>
        <xdr:cNvPr id="44" name="Graphic 43" descr="North America with solid fill">
          <a:extLst>
            <a:ext uri="{FF2B5EF4-FFF2-40B4-BE49-F238E27FC236}">
              <a16:creationId xmlns:a16="http://schemas.microsoft.com/office/drawing/2014/main" id="{73CA4C30-E04A-4CE1-9FD7-D8B27236D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402" y="3302052"/>
          <a:ext cx="457200" cy="40464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21421</xdr:rowOff>
    </xdr:to>
    <xdr:pic>
      <xdr:nvPicPr>
        <xdr:cNvPr id="45" name="Graphic 44" descr="Gauge with solid fill">
          <a:extLst>
            <a:ext uri="{FF2B5EF4-FFF2-40B4-BE49-F238E27FC236}">
              <a16:creationId xmlns:a16="http://schemas.microsoft.com/office/drawing/2014/main" id="{8A210E73-29E8-49C3-8F69-F1C1554A6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402" y="530926"/>
          <a:ext cx="457200" cy="42204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19051</xdr:rowOff>
    </xdr:from>
    <xdr:to>
      <xdr:col>3</xdr:col>
      <xdr:colOff>19050</xdr:colOff>
      <xdr:row>36</xdr:row>
      <xdr:rowOff>38101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C9B020F-54B7-48F3-8F57-6ABE14060DCB}"/>
            </a:ext>
          </a:extLst>
        </xdr:cNvPr>
        <xdr:cNvSpPr/>
      </xdr:nvSpPr>
      <xdr:spPr>
        <a:xfrm>
          <a:off x="2124075" y="15241"/>
          <a:ext cx="300990" cy="65665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7620</xdr:rowOff>
        </xdr:from>
        <xdr:to>
          <xdr:col>9</xdr:col>
          <xdr:colOff>15240</xdr:colOff>
          <xdr:row>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</xdr:row>
          <xdr:rowOff>175260</xdr:rowOff>
        </xdr:from>
        <xdr:to>
          <xdr:col>11</xdr:col>
          <xdr:colOff>600075</xdr:colOff>
          <xdr:row>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6363</xdr:colOff>
      <xdr:row>0</xdr:row>
      <xdr:rowOff>15240</xdr:rowOff>
    </xdr:from>
    <xdr:to>
      <xdr:col>3</xdr:col>
      <xdr:colOff>19050</xdr:colOff>
      <xdr:row>36</xdr:row>
      <xdr:rowOff>59055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FDA3640-C460-4AEA-BF39-239AE3E999F0}"/>
            </a:ext>
          </a:extLst>
        </xdr:cNvPr>
        <xdr:cNvSpPr/>
      </xdr:nvSpPr>
      <xdr:spPr>
        <a:xfrm>
          <a:off x="8268" y="19050"/>
          <a:ext cx="2416797" cy="658939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55245</xdr:colOff>
      <xdr:row>12</xdr:row>
      <xdr:rowOff>114300</xdr:rowOff>
    </xdr:from>
    <xdr:to>
      <xdr:col>2</xdr:col>
      <xdr:colOff>302895</xdr:colOff>
      <xdr:row>15</xdr:row>
      <xdr:rowOff>171450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219CEFE-C458-4300-9AB2-F56180A27D32}"/>
            </a:ext>
          </a:extLst>
        </xdr:cNvPr>
        <xdr:cNvSpPr/>
      </xdr:nvSpPr>
      <xdr:spPr>
        <a:xfrm>
          <a:off x="55245" y="2343150"/>
          <a:ext cx="2105025" cy="60007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13" name="TextBox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18B5C8-0058-4BB0-B0A7-09CCAB2B102A}"/>
            </a:ext>
          </a:extLst>
        </xdr:cNvPr>
        <xdr:cNvSpPr txBox="1"/>
      </xdr:nvSpPr>
      <xdr:spPr>
        <a:xfrm>
          <a:off x="293370" y="521970"/>
          <a:ext cx="2150745" cy="5467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14" name="TextBox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79C3F6-5322-44E1-A93E-C16B90ED7B9E}"/>
            </a:ext>
          </a:extLst>
        </xdr:cNvPr>
        <xdr:cNvSpPr txBox="1"/>
      </xdr:nvSpPr>
      <xdr:spPr>
        <a:xfrm>
          <a:off x="293370" y="1440180"/>
          <a:ext cx="2118359" cy="5486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15" name="TextBox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45800F-0ACE-4D6A-8F23-96A5174F936A}"/>
            </a:ext>
          </a:extLst>
        </xdr:cNvPr>
        <xdr:cNvSpPr txBox="1"/>
      </xdr:nvSpPr>
      <xdr:spPr>
        <a:xfrm>
          <a:off x="293370" y="2350770"/>
          <a:ext cx="2139314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5EDB43-6805-4CB8-A34E-F01DDC046E8B}"/>
            </a:ext>
          </a:extLst>
        </xdr:cNvPr>
        <xdr:cNvSpPr txBox="1"/>
      </xdr:nvSpPr>
      <xdr:spPr>
        <a:xfrm>
          <a:off x="293370" y="3251833"/>
          <a:ext cx="2137410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17" name="TextBox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36EDC9-9C06-4BE1-9F6F-1890A9A46939}"/>
            </a:ext>
          </a:extLst>
        </xdr:cNvPr>
        <xdr:cNvSpPr txBox="1"/>
      </xdr:nvSpPr>
      <xdr:spPr>
        <a:xfrm>
          <a:off x="293370" y="4160520"/>
          <a:ext cx="2173605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18" name="TextBox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0847C41-760B-4224-BE7A-A22E575E23DF}"/>
            </a:ext>
          </a:extLst>
        </xdr:cNvPr>
        <xdr:cNvSpPr txBox="1"/>
      </xdr:nvSpPr>
      <xdr:spPr>
        <a:xfrm>
          <a:off x="293370" y="5050155"/>
          <a:ext cx="2181225" cy="5581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60074</xdr:rowOff>
    </xdr:to>
    <xdr:pic>
      <xdr:nvPicPr>
        <xdr:cNvPr id="19" name="Graphic 18" descr="Table with solid fill">
          <a:extLst>
            <a:ext uri="{FF2B5EF4-FFF2-40B4-BE49-F238E27FC236}">
              <a16:creationId xmlns:a16="http://schemas.microsoft.com/office/drawing/2014/main" id="{81F57B87-8729-4193-AAD3-06D5E03A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2402" y="2407935"/>
          <a:ext cx="457200" cy="40105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168163</xdr:rowOff>
    </xdr:to>
    <xdr:pic>
      <xdr:nvPicPr>
        <xdr:cNvPr id="20" name="Graphic 19" descr="Warning with solid fill">
          <a:extLst>
            <a:ext uri="{FF2B5EF4-FFF2-40B4-BE49-F238E27FC236}">
              <a16:creationId xmlns:a16="http://schemas.microsoft.com/office/drawing/2014/main" id="{940D25CA-1FC8-4E06-BAA9-89988FB55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2402" y="5162550"/>
          <a:ext cx="457200" cy="47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20138</xdr:rowOff>
    </xdr:to>
    <xdr:pic>
      <xdr:nvPicPr>
        <xdr:cNvPr id="21" name="Graphic 20" descr="Gears with solid fill">
          <a:extLst>
            <a:ext uri="{FF2B5EF4-FFF2-40B4-BE49-F238E27FC236}">
              <a16:creationId xmlns:a16="http://schemas.microsoft.com/office/drawing/2014/main" id="{1B7E788D-1D40-4CA3-9DCB-AE2D9ECB5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2" y="4112229"/>
          <a:ext cx="457200" cy="46657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22" name="Graphic 21" descr="Enter with solid fill">
          <a:extLst>
            <a:ext uri="{FF2B5EF4-FFF2-40B4-BE49-F238E27FC236}">
              <a16:creationId xmlns:a16="http://schemas.microsoft.com/office/drawing/2014/main" id="{1C66C64C-A145-423C-8258-CA6A9C06E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2" y="1504946"/>
          <a:ext cx="457200" cy="49221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54815</xdr:rowOff>
    </xdr:to>
    <xdr:pic>
      <xdr:nvPicPr>
        <xdr:cNvPr id="23" name="Graphic 22" descr="North America with solid fill">
          <a:extLst>
            <a:ext uri="{FF2B5EF4-FFF2-40B4-BE49-F238E27FC236}">
              <a16:creationId xmlns:a16="http://schemas.microsoft.com/office/drawing/2014/main" id="{AFE96287-EB38-43AC-9A04-EF7FB995C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402" y="3311577"/>
          <a:ext cx="457200" cy="40464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2371</xdr:rowOff>
    </xdr:to>
    <xdr:pic>
      <xdr:nvPicPr>
        <xdr:cNvPr id="24" name="Graphic 23" descr="Gauge with solid fill">
          <a:extLst>
            <a:ext uri="{FF2B5EF4-FFF2-40B4-BE49-F238E27FC236}">
              <a16:creationId xmlns:a16="http://schemas.microsoft.com/office/drawing/2014/main" id="{D1871FF2-9AC7-4BA8-8B5A-9FCB4F606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402" y="549976"/>
          <a:ext cx="457200" cy="41442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19051</xdr:rowOff>
    </xdr:from>
    <xdr:to>
      <xdr:col>3</xdr:col>
      <xdr:colOff>19050</xdr:colOff>
      <xdr:row>36</xdr:row>
      <xdr:rowOff>38101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B053FA-5F22-4CB9-907A-5F394822B81D}"/>
            </a:ext>
          </a:extLst>
        </xdr:cNvPr>
        <xdr:cNvSpPr/>
      </xdr:nvSpPr>
      <xdr:spPr>
        <a:xfrm>
          <a:off x="2124075" y="15241"/>
          <a:ext cx="300990" cy="657606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10173</xdr:colOff>
      <xdr:row>0</xdr:row>
      <xdr:rowOff>15240</xdr:rowOff>
    </xdr:from>
    <xdr:to>
      <xdr:col>3</xdr:col>
      <xdr:colOff>19050</xdr:colOff>
      <xdr:row>36</xdr:row>
      <xdr:rowOff>59055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954EC9B5-6E7F-4212-9CAF-AFC947EEA02F}"/>
            </a:ext>
          </a:extLst>
        </xdr:cNvPr>
        <xdr:cNvSpPr/>
      </xdr:nvSpPr>
      <xdr:spPr>
        <a:xfrm>
          <a:off x="10173" y="15240"/>
          <a:ext cx="2418702" cy="661606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17</xdr:row>
      <xdr:rowOff>106680</xdr:rowOff>
    </xdr:from>
    <xdr:to>
      <xdr:col>2</xdr:col>
      <xdr:colOff>291465</xdr:colOff>
      <xdr:row>20</xdr:row>
      <xdr:rowOff>148590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BC86C8BB-4418-42D1-A3D3-ED70E4709D7E}"/>
            </a:ext>
          </a:extLst>
        </xdr:cNvPr>
        <xdr:cNvSpPr/>
      </xdr:nvSpPr>
      <xdr:spPr>
        <a:xfrm>
          <a:off x="47625" y="3240405"/>
          <a:ext cx="2101215" cy="58483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43" name="TextBox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C84F3B-2A69-42FA-88E6-64C51C3BEB9D}"/>
            </a:ext>
          </a:extLst>
        </xdr:cNvPr>
        <xdr:cNvSpPr txBox="1"/>
      </xdr:nvSpPr>
      <xdr:spPr>
        <a:xfrm>
          <a:off x="293370" y="502920"/>
          <a:ext cx="2150745" cy="5562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44" name="TextBox 4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BAFE98E-E601-43A9-AF27-293183286E16}"/>
            </a:ext>
          </a:extLst>
        </xdr:cNvPr>
        <xdr:cNvSpPr txBox="1"/>
      </xdr:nvSpPr>
      <xdr:spPr>
        <a:xfrm>
          <a:off x="293370" y="1430655"/>
          <a:ext cx="2118359" cy="5486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45" name="TextBox 4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F74064-78D7-4B9E-BCE5-4AE65E16B011}"/>
            </a:ext>
          </a:extLst>
        </xdr:cNvPr>
        <xdr:cNvSpPr txBox="1"/>
      </xdr:nvSpPr>
      <xdr:spPr>
        <a:xfrm>
          <a:off x="293370" y="2341245"/>
          <a:ext cx="2139314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46" name="TextBox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C51012-44A7-41D0-9148-88E0D5644924}"/>
            </a:ext>
          </a:extLst>
        </xdr:cNvPr>
        <xdr:cNvSpPr txBox="1"/>
      </xdr:nvSpPr>
      <xdr:spPr>
        <a:xfrm>
          <a:off x="293370" y="3242308"/>
          <a:ext cx="2137410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47" name="TextBox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C89733-B067-41D4-83F5-A00F73AC1083}"/>
            </a:ext>
          </a:extLst>
        </xdr:cNvPr>
        <xdr:cNvSpPr txBox="1"/>
      </xdr:nvSpPr>
      <xdr:spPr>
        <a:xfrm>
          <a:off x="293370" y="4150995"/>
          <a:ext cx="2173605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48" name="TextBox 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46A8C8-EE5A-458F-8A50-052214413BD8}"/>
            </a:ext>
          </a:extLst>
        </xdr:cNvPr>
        <xdr:cNvSpPr txBox="1"/>
      </xdr:nvSpPr>
      <xdr:spPr>
        <a:xfrm>
          <a:off x="293370" y="5040630"/>
          <a:ext cx="2181225" cy="5581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60074</xdr:rowOff>
    </xdr:to>
    <xdr:pic>
      <xdr:nvPicPr>
        <xdr:cNvPr id="49" name="Graphic 48" descr="Table with solid fill">
          <a:extLst>
            <a:ext uri="{FF2B5EF4-FFF2-40B4-BE49-F238E27FC236}">
              <a16:creationId xmlns:a16="http://schemas.microsoft.com/office/drawing/2014/main" id="{97810279-DB0D-42FC-84E0-75017B658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2402" y="2398410"/>
          <a:ext cx="457200" cy="40105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168163</xdr:rowOff>
    </xdr:to>
    <xdr:pic>
      <xdr:nvPicPr>
        <xdr:cNvPr id="50" name="Graphic 49" descr="Warning with solid fill">
          <a:extLst>
            <a:ext uri="{FF2B5EF4-FFF2-40B4-BE49-F238E27FC236}">
              <a16:creationId xmlns:a16="http://schemas.microsoft.com/office/drawing/2014/main" id="{A90FB969-E2F9-44C0-BCAE-1D8B8DDB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2402" y="5153025"/>
          <a:ext cx="457200" cy="47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20138</xdr:rowOff>
    </xdr:to>
    <xdr:pic>
      <xdr:nvPicPr>
        <xdr:cNvPr id="51" name="Graphic 50" descr="Gears with solid fill">
          <a:extLst>
            <a:ext uri="{FF2B5EF4-FFF2-40B4-BE49-F238E27FC236}">
              <a16:creationId xmlns:a16="http://schemas.microsoft.com/office/drawing/2014/main" id="{DE26AEF7-5C20-45EE-971D-453399F50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2" y="4102704"/>
          <a:ext cx="457200" cy="46657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52" name="Graphic 51" descr="Enter with solid fill">
          <a:extLst>
            <a:ext uri="{FF2B5EF4-FFF2-40B4-BE49-F238E27FC236}">
              <a16:creationId xmlns:a16="http://schemas.microsoft.com/office/drawing/2014/main" id="{E7BE80EA-CA29-43FE-A7A4-E2EA14605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2" y="1495421"/>
          <a:ext cx="457200" cy="49221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54815</xdr:rowOff>
    </xdr:to>
    <xdr:pic>
      <xdr:nvPicPr>
        <xdr:cNvPr id="53" name="Graphic 52" descr="North America with solid fill">
          <a:extLst>
            <a:ext uri="{FF2B5EF4-FFF2-40B4-BE49-F238E27FC236}">
              <a16:creationId xmlns:a16="http://schemas.microsoft.com/office/drawing/2014/main" id="{588E998B-BF1A-4B87-9AE2-AA67D8D06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402" y="3302052"/>
          <a:ext cx="457200" cy="40464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38566</xdr:rowOff>
    </xdr:to>
    <xdr:pic>
      <xdr:nvPicPr>
        <xdr:cNvPr id="54" name="Graphic 53" descr="Gauge with solid fill">
          <a:extLst>
            <a:ext uri="{FF2B5EF4-FFF2-40B4-BE49-F238E27FC236}">
              <a16:creationId xmlns:a16="http://schemas.microsoft.com/office/drawing/2014/main" id="{3BBB91F8-8F07-44DA-AA8D-732A0712F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402" y="530926"/>
          <a:ext cx="457200" cy="42204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15241</xdr:rowOff>
    </xdr:from>
    <xdr:to>
      <xdr:col>3</xdr:col>
      <xdr:colOff>9525</xdr:colOff>
      <xdr:row>36</xdr:row>
      <xdr:rowOff>38101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4A960E79-BDAA-4ADF-8311-30F5477AD200}"/>
            </a:ext>
          </a:extLst>
        </xdr:cNvPr>
        <xdr:cNvSpPr/>
      </xdr:nvSpPr>
      <xdr:spPr>
        <a:xfrm>
          <a:off x="2124075" y="19051"/>
          <a:ext cx="297180" cy="65627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6363</xdr:colOff>
      <xdr:row>0</xdr:row>
      <xdr:rowOff>15240</xdr:rowOff>
    </xdr:from>
    <xdr:to>
      <xdr:col>3</xdr:col>
      <xdr:colOff>19050</xdr:colOff>
      <xdr:row>36</xdr:row>
      <xdr:rowOff>59055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DC205D7-FA52-4692-8251-B0B14AB574DA}"/>
            </a:ext>
          </a:extLst>
        </xdr:cNvPr>
        <xdr:cNvSpPr/>
      </xdr:nvSpPr>
      <xdr:spPr>
        <a:xfrm>
          <a:off x="8268" y="19050"/>
          <a:ext cx="2416797" cy="658939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22</xdr:row>
      <xdr:rowOff>95250</xdr:rowOff>
    </xdr:from>
    <xdr:to>
      <xdr:col>2</xdr:col>
      <xdr:colOff>293370</xdr:colOff>
      <xdr:row>25</xdr:row>
      <xdr:rowOff>152400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DF14515-A8EF-4FAC-AC2F-EB630EEF5E23}"/>
            </a:ext>
          </a:extLst>
        </xdr:cNvPr>
        <xdr:cNvSpPr/>
      </xdr:nvSpPr>
      <xdr:spPr>
        <a:xfrm>
          <a:off x="45720" y="4133850"/>
          <a:ext cx="2105025" cy="60007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19" name="TextBox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444BF9-1C8F-4427-9FB2-9C2CDA8CB13F}"/>
            </a:ext>
          </a:extLst>
        </xdr:cNvPr>
        <xdr:cNvSpPr txBox="1"/>
      </xdr:nvSpPr>
      <xdr:spPr>
        <a:xfrm>
          <a:off x="293370" y="521970"/>
          <a:ext cx="2150745" cy="5467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20" name="TextBox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309D7D2-2F9D-40A7-9A9B-7B293CDD4B9B}"/>
            </a:ext>
          </a:extLst>
        </xdr:cNvPr>
        <xdr:cNvSpPr txBox="1"/>
      </xdr:nvSpPr>
      <xdr:spPr>
        <a:xfrm>
          <a:off x="293370" y="1440180"/>
          <a:ext cx="2118359" cy="5486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21" name="TextBox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E7A1C3-2F3E-49E5-8221-E79F15E40ECF}"/>
            </a:ext>
          </a:extLst>
        </xdr:cNvPr>
        <xdr:cNvSpPr txBox="1"/>
      </xdr:nvSpPr>
      <xdr:spPr>
        <a:xfrm>
          <a:off x="293370" y="2350770"/>
          <a:ext cx="2139314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22" name="TextBox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755D54-2749-4803-BDA1-8944146EB119}"/>
            </a:ext>
          </a:extLst>
        </xdr:cNvPr>
        <xdr:cNvSpPr txBox="1"/>
      </xdr:nvSpPr>
      <xdr:spPr>
        <a:xfrm>
          <a:off x="293370" y="3251833"/>
          <a:ext cx="2137410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23" name="TextBox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3F009EB-68E9-43F1-B67E-F4F105183843}"/>
            </a:ext>
          </a:extLst>
        </xdr:cNvPr>
        <xdr:cNvSpPr txBox="1"/>
      </xdr:nvSpPr>
      <xdr:spPr>
        <a:xfrm>
          <a:off x="293370" y="4160520"/>
          <a:ext cx="2173605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24" name="TextBox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5E15A0-EEB0-4EF7-B9DC-37EE4E153AAC}"/>
            </a:ext>
          </a:extLst>
        </xdr:cNvPr>
        <xdr:cNvSpPr txBox="1"/>
      </xdr:nvSpPr>
      <xdr:spPr>
        <a:xfrm>
          <a:off x="293370" y="5050155"/>
          <a:ext cx="2181225" cy="5581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56264</xdr:rowOff>
    </xdr:to>
    <xdr:pic>
      <xdr:nvPicPr>
        <xdr:cNvPr id="25" name="Graphic 24" descr="Table with solid fill">
          <a:extLst>
            <a:ext uri="{FF2B5EF4-FFF2-40B4-BE49-F238E27FC236}">
              <a16:creationId xmlns:a16="http://schemas.microsoft.com/office/drawing/2014/main" id="{CBE81D95-EC9D-4DC3-AEC6-57673BBEE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2402" y="2407935"/>
          <a:ext cx="457200" cy="40105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171973</xdr:rowOff>
    </xdr:to>
    <xdr:pic>
      <xdr:nvPicPr>
        <xdr:cNvPr id="26" name="Graphic 25" descr="Warning with solid fill">
          <a:extLst>
            <a:ext uri="{FF2B5EF4-FFF2-40B4-BE49-F238E27FC236}">
              <a16:creationId xmlns:a16="http://schemas.microsoft.com/office/drawing/2014/main" id="{510D145A-2492-4A1A-89F9-03F25F829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2402" y="5162550"/>
          <a:ext cx="457200" cy="47677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16328</xdr:rowOff>
    </xdr:to>
    <xdr:pic>
      <xdr:nvPicPr>
        <xdr:cNvPr id="27" name="Graphic 26" descr="Gears with solid fill">
          <a:extLst>
            <a:ext uri="{FF2B5EF4-FFF2-40B4-BE49-F238E27FC236}">
              <a16:creationId xmlns:a16="http://schemas.microsoft.com/office/drawing/2014/main" id="{81C0BD72-230B-431C-8500-A3DCADFCB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2" y="4112229"/>
          <a:ext cx="457200" cy="46657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28" name="Graphic 27" descr="Enter with solid fill">
          <a:extLst>
            <a:ext uri="{FF2B5EF4-FFF2-40B4-BE49-F238E27FC236}">
              <a16:creationId xmlns:a16="http://schemas.microsoft.com/office/drawing/2014/main" id="{ABCDB379-FB60-446B-A758-6D02DE252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2" y="1504946"/>
          <a:ext cx="457200" cy="49221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58625</xdr:rowOff>
    </xdr:to>
    <xdr:pic>
      <xdr:nvPicPr>
        <xdr:cNvPr id="29" name="Graphic 28" descr="North America with solid fill">
          <a:extLst>
            <a:ext uri="{FF2B5EF4-FFF2-40B4-BE49-F238E27FC236}">
              <a16:creationId xmlns:a16="http://schemas.microsoft.com/office/drawing/2014/main" id="{6EB35CCE-CBDD-4B1F-85B1-72C469F8A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402" y="3311577"/>
          <a:ext cx="457200" cy="40464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30946</xdr:rowOff>
    </xdr:to>
    <xdr:pic>
      <xdr:nvPicPr>
        <xdr:cNvPr id="30" name="Graphic 29" descr="Gauge with solid fill">
          <a:extLst>
            <a:ext uri="{FF2B5EF4-FFF2-40B4-BE49-F238E27FC236}">
              <a16:creationId xmlns:a16="http://schemas.microsoft.com/office/drawing/2014/main" id="{3367A71B-35F0-48C4-B112-184CCE6E3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402" y="549976"/>
          <a:ext cx="457200" cy="41442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19051</xdr:rowOff>
    </xdr:from>
    <xdr:to>
      <xdr:col>3</xdr:col>
      <xdr:colOff>19050</xdr:colOff>
      <xdr:row>36</xdr:row>
      <xdr:rowOff>38101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4C457C4-80B3-4EDA-9BB3-11DAA3BDD521}"/>
            </a:ext>
          </a:extLst>
        </xdr:cNvPr>
        <xdr:cNvSpPr/>
      </xdr:nvSpPr>
      <xdr:spPr>
        <a:xfrm>
          <a:off x="2124075" y="15241"/>
          <a:ext cx="300990" cy="657606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8268</xdr:colOff>
      <xdr:row>0</xdr:row>
      <xdr:rowOff>19050</xdr:rowOff>
    </xdr:from>
    <xdr:to>
      <xdr:col>3</xdr:col>
      <xdr:colOff>15240</xdr:colOff>
      <xdr:row>36</xdr:row>
      <xdr:rowOff>55245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C5801BF-77CD-4480-8C8E-17B2CACD5644}"/>
            </a:ext>
          </a:extLst>
        </xdr:cNvPr>
        <xdr:cNvSpPr/>
      </xdr:nvSpPr>
      <xdr:spPr>
        <a:xfrm>
          <a:off x="10173" y="15240"/>
          <a:ext cx="2418702" cy="658749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66675</xdr:colOff>
      <xdr:row>27</xdr:row>
      <xdr:rowOff>144780</xdr:rowOff>
    </xdr:from>
    <xdr:to>
      <xdr:col>2</xdr:col>
      <xdr:colOff>310515</xdr:colOff>
      <xdr:row>30</xdr:row>
      <xdr:rowOff>167640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5D10A2D9-272B-46AF-80D8-508FEB4FFF9E}"/>
            </a:ext>
          </a:extLst>
        </xdr:cNvPr>
        <xdr:cNvSpPr/>
      </xdr:nvSpPr>
      <xdr:spPr>
        <a:xfrm>
          <a:off x="66675" y="5069205"/>
          <a:ext cx="2101215" cy="56578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2</xdr:row>
      <xdr:rowOff>142875</xdr:rowOff>
    </xdr:from>
    <xdr:to>
      <xdr:col>3</xdr:col>
      <xdr:colOff>34290</xdr:colOff>
      <xdr:row>5</xdr:row>
      <xdr:rowOff>123825</xdr:rowOff>
    </xdr:to>
    <xdr:sp macro="" textlink="">
      <xdr:nvSpPr>
        <xdr:cNvPr id="34" name="TextBox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4B54D2-183A-4EE5-B6BD-951F4A1B9B73}"/>
            </a:ext>
          </a:extLst>
        </xdr:cNvPr>
        <xdr:cNvSpPr txBox="1"/>
      </xdr:nvSpPr>
      <xdr:spPr>
        <a:xfrm>
          <a:off x="293370" y="502920"/>
          <a:ext cx="2150745" cy="5562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>
    <xdr:from>
      <xdr:col>0</xdr:col>
      <xdr:colOff>295275</xdr:colOff>
      <xdr:row>7</xdr:row>
      <xdr:rowOff>139065</xdr:rowOff>
    </xdr:from>
    <xdr:to>
      <xdr:col>2</xdr:col>
      <xdr:colOff>573404</xdr:colOff>
      <xdr:row>10</xdr:row>
      <xdr:rowOff>142875</xdr:rowOff>
    </xdr:to>
    <xdr:sp macro="" textlink="">
      <xdr:nvSpPr>
        <xdr:cNvPr id="35" name="TextBox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18DF1E-9F46-47B7-84B5-A1103066EDFD}"/>
            </a:ext>
          </a:extLst>
        </xdr:cNvPr>
        <xdr:cNvSpPr txBox="1"/>
      </xdr:nvSpPr>
      <xdr:spPr>
        <a:xfrm>
          <a:off x="293370" y="1430655"/>
          <a:ext cx="2118359" cy="5486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Entrada</a:t>
          </a:r>
        </a:p>
      </xdr:txBody>
    </xdr:sp>
    <xdr:clientData/>
  </xdr:twoCellAnchor>
  <xdr:twoCellAnchor>
    <xdr:from>
      <xdr:col>0</xdr:col>
      <xdr:colOff>295275</xdr:colOff>
      <xdr:row>12</xdr:row>
      <xdr:rowOff>142875</xdr:rowOff>
    </xdr:from>
    <xdr:to>
      <xdr:col>3</xdr:col>
      <xdr:colOff>26669</xdr:colOff>
      <xdr:row>15</xdr:row>
      <xdr:rowOff>139065</xdr:rowOff>
    </xdr:to>
    <xdr:sp macro="" textlink="">
      <xdr:nvSpPr>
        <xdr:cNvPr id="36" name="TextBox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4EA962-7541-4FA2-B6B7-F5E0FD0997E6}"/>
            </a:ext>
          </a:extLst>
        </xdr:cNvPr>
        <xdr:cNvSpPr txBox="1"/>
      </xdr:nvSpPr>
      <xdr:spPr>
        <a:xfrm>
          <a:off x="293370" y="2341245"/>
          <a:ext cx="2139314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Data</a:t>
          </a:r>
        </a:p>
      </xdr:txBody>
    </xdr:sp>
    <xdr:clientData/>
  </xdr:twoCellAnchor>
  <xdr:twoCellAnchor>
    <xdr:from>
      <xdr:col>0</xdr:col>
      <xdr:colOff>295275</xdr:colOff>
      <xdr:row>17</xdr:row>
      <xdr:rowOff>140968</xdr:rowOff>
    </xdr:from>
    <xdr:to>
      <xdr:col>3</xdr:col>
      <xdr:colOff>24765</xdr:colOff>
      <xdr:row>20</xdr:row>
      <xdr:rowOff>137159</xdr:rowOff>
    </xdr:to>
    <xdr:sp macro="" textlink="">
      <xdr:nvSpPr>
        <xdr:cNvPr id="37" name="TextBox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8A9C5B-24F7-4D2E-85C4-8151C1BA5C6F}"/>
            </a:ext>
          </a:extLst>
        </xdr:cNvPr>
        <xdr:cNvSpPr txBox="1"/>
      </xdr:nvSpPr>
      <xdr:spPr>
        <a:xfrm>
          <a:off x="293370" y="3242308"/>
          <a:ext cx="2137410" cy="5391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Map</a:t>
          </a:r>
        </a:p>
      </xdr:txBody>
    </xdr:sp>
    <xdr:clientData/>
  </xdr:twoCellAnchor>
  <xdr:twoCellAnchor>
    <xdr:from>
      <xdr:col>0</xdr:col>
      <xdr:colOff>295275</xdr:colOff>
      <xdr:row>22</xdr:row>
      <xdr:rowOff>142875</xdr:rowOff>
    </xdr:from>
    <xdr:to>
      <xdr:col>3</xdr:col>
      <xdr:colOff>53340</xdr:colOff>
      <xdr:row>25</xdr:row>
      <xdr:rowOff>139065</xdr:rowOff>
    </xdr:to>
    <xdr:sp macro="" textlink="">
      <xdr:nvSpPr>
        <xdr:cNvPr id="38" name="TextBox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596D0A-CD67-4E24-A6DC-3DE1EDB12169}"/>
            </a:ext>
          </a:extLst>
        </xdr:cNvPr>
        <xdr:cNvSpPr txBox="1"/>
      </xdr:nvSpPr>
      <xdr:spPr>
        <a:xfrm>
          <a:off x="293370" y="4150995"/>
          <a:ext cx="2173605" cy="5372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+mn-lt"/>
              <a:ea typeface="+mn-ea"/>
              <a:cs typeface="+mn-cs"/>
            </a:rPr>
            <a:t>Config</a:t>
          </a:r>
        </a:p>
      </xdr:txBody>
    </xdr:sp>
    <xdr:clientData/>
  </xdr:twoCellAnchor>
  <xdr:twoCellAnchor>
    <xdr:from>
      <xdr:col>0</xdr:col>
      <xdr:colOff>295275</xdr:colOff>
      <xdr:row>27</xdr:row>
      <xdr:rowOff>123825</xdr:rowOff>
    </xdr:from>
    <xdr:to>
      <xdr:col>3</xdr:col>
      <xdr:colOff>66675</xdr:colOff>
      <xdr:row>30</xdr:row>
      <xdr:rowOff>142875</xdr:rowOff>
    </xdr:to>
    <xdr:sp macro="" textlink="">
      <xdr:nvSpPr>
        <xdr:cNvPr id="39" name="TextBox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877BDC-4A8E-464A-ACA0-404A94C0A7CA}"/>
            </a:ext>
          </a:extLst>
        </xdr:cNvPr>
        <xdr:cNvSpPr txBox="1"/>
      </xdr:nvSpPr>
      <xdr:spPr>
        <a:xfrm>
          <a:off x="293370" y="5040630"/>
          <a:ext cx="2181225" cy="5581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Log</a:t>
          </a:r>
        </a:p>
      </xdr:txBody>
    </xdr:sp>
    <xdr:clientData/>
  </xdr:twoCellAnchor>
  <xdr:twoCellAnchor editAs="oneCell">
    <xdr:from>
      <xdr:col>0</xdr:col>
      <xdr:colOff>152402</xdr:colOff>
      <xdr:row>13</xdr:row>
      <xdr:rowOff>20970</xdr:rowOff>
    </xdr:from>
    <xdr:to>
      <xdr:col>0</xdr:col>
      <xdr:colOff>609602</xdr:colOff>
      <xdr:row>15</xdr:row>
      <xdr:rowOff>60074</xdr:rowOff>
    </xdr:to>
    <xdr:pic>
      <xdr:nvPicPr>
        <xdr:cNvPr id="40" name="Graphic 39" descr="Table with solid fill">
          <a:extLst>
            <a:ext uri="{FF2B5EF4-FFF2-40B4-BE49-F238E27FC236}">
              <a16:creationId xmlns:a16="http://schemas.microsoft.com/office/drawing/2014/main" id="{507B9E3B-6266-414D-9924-30A7DCF33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2402" y="2398410"/>
          <a:ext cx="457200" cy="40486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28</xdr:row>
      <xdr:rowOff>53340</xdr:rowOff>
    </xdr:from>
    <xdr:to>
      <xdr:col>0</xdr:col>
      <xdr:colOff>609602</xdr:colOff>
      <xdr:row>30</xdr:row>
      <xdr:rowOff>168163</xdr:rowOff>
    </xdr:to>
    <xdr:pic>
      <xdr:nvPicPr>
        <xdr:cNvPr id="41" name="Graphic 40" descr="Warning with solid fill">
          <a:extLst>
            <a:ext uri="{FF2B5EF4-FFF2-40B4-BE49-F238E27FC236}">
              <a16:creationId xmlns:a16="http://schemas.microsoft.com/office/drawing/2014/main" id="{7320F6AB-32D2-4A66-A70F-591A65DC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2402" y="5153025"/>
          <a:ext cx="457200" cy="47296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22</xdr:row>
      <xdr:rowOff>96489</xdr:rowOff>
    </xdr:from>
    <xdr:to>
      <xdr:col>0</xdr:col>
      <xdr:colOff>609602</xdr:colOff>
      <xdr:row>25</xdr:row>
      <xdr:rowOff>20138</xdr:rowOff>
    </xdr:to>
    <xdr:pic>
      <xdr:nvPicPr>
        <xdr:cNvPr id="42" name="Graphic 41" descr="Gears with solid fill">
          <a:extLst>
            <a:ext uri="{FF2B5EF4-FFF2-40B4-BE49-F238E27FC236}">
              <a16:creationId xmlns:a16="http://schemas.microsoft.com/office/drawing/2014/main" id="{4FB0E08E-E6CE-4782-A3F1-D75B67531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2" y="4102704"/>
          <a:ext cx="457200" cy="47038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8</xdr:row>
      <xdr:rowOff>22856</xdr:rowOff>
    </xdr:from>
    <xdr:to>
      <xdr:col>0</xdr:col>
      <xdr:colOff>609602</xdr:colOff>
      <xdr:row>10</xdr:row>
      <xdr:rowOff>149310</xdr:rowOff>
    </xdr:to>
    <xdr:pic>
      <xdr:nvPicPr>
        <xdr:cNvPr id="43" name="Graphic 42" descr="Enter with solid fill">
          <a:extLst>
            <a:ext uri="{FF2B5EF4-FFF2-40B4-BE49-F238E27FC236}">
              <a16:creationId xmlns:a16="http://schemas.microsoft.com/office/drawing/2014/main" id="{4D2A729B-ACD0-4FD0-96D1-2FEB5E129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2" y="1495421"/>
          <a:ext cx="457200" cy="492214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18</xdr:row>
      <xdr:rowOff>19737</xdr:rowOff>
    </xdr:from>
    <xdr:to>
      <xdr:col>0</xdr:col>
      <xdr:colOff>609602</xdr:colOff>
      <xdr:row>20</xdr:row>
      <xdr:rowOff>54815</xdr:rowOff>
    </xdr:to>
    <xdr:pic>
      <xdr:nvPicPr>
        <xdr:cNvPr id="44" name="Graphic 43" descr="North America with solid fill">
          <a:extLst>
            <a:ext uri="{FF2B5EF4-FFF2-40B4-BE49-F238E27FC236}">
              <a16:creationId xmlns:a16="http://schemas.microsoft.com/office/drawing/2014/main" id="{A1745440-30FA-4306-919C-37AEC42F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402" y="3302052"/>
          <a:ext cx="457200" cy="400838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152402</xdr:colOff>
      <xdr:row>2</xdr:row>
      <xdr:rowOff>172786</xdr:rowOff>
    </xdr:from>
    <xdr:to>
      <xdr:col>0</xdr:col>
      <xdr:colOff>609602</xdr:colOff>
      <xdr:row>5</xdr:row>
      <xdr:rowOff>25231</xdr:rowOff>
    </xdr:to>
    <xdr:pic>
      <xdr:nvPicPr>
        <xdr:cNvPr id="45" name="Graphic 44" descr="Gauge with solid fill">
          <a:extLst>
            <a:ext uri="{FF2B5EF4-FFF2-40B4-BE49-F238E27FC236}">
              <a16:creationId xmlns:a16="http://schemas.microsoft.com/office/drawing/2014/main" id="{36653954-0356-4339-AC9C-BF419971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402" y="530926"/>
          <a:ext cx="457200" cy="418230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0</xdr:row>
      <xdr:rowOff>15241</xdr:rowOff>
    </xdr:from>
    <xdr:to>
      <xdr:col>3</xdr:col>
      <xdr:colOff>9525</xdr:colOff>
      <xdr:row>36</xdr:row>
      <xdr:rowOff>38101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AFFD8AD-3124-4956-8FB4-E3FADF6D1F8E}"/>
            </a:ext>
          </a:extLst>
        </xdr:cNvPr>
        <xdr:cNvSpPr/>
      </xdr:nvSpPr>
      <xdr:spPr>
        <a:xfrm>
          <a:off x="2124075" y="19051"/>
          <a:ext cx="297180" cy="65627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495FF0-5C80-453C-8A66-E10017DD5070}" name="tblData" displayName="tblData" ref="E7:AM14" totalsRowShown="0">
  <autoFilter ref="E7:AM14" xr:uid="{73495FF0-5C80-453C-8A66-E10017DD5070}"/>
  <tableColumns count="35">
    <tableColumn id="1" xr3:uid="{0B887137-AA98-4C01-BB52-F838A9196ECF}" name="Estado"/>
    <tableColumn id="2" xr3:uid="{01D28D30-89EC-49B9-9CB8-044CCF3FF5FC}" name="Proceso"/>
    <tableColumn id="3" xr3:uid="{F10F757E-6204-467C-9DF8-9D6CE3D13CE9}" name="Creado"/>
    <tableColumn id="4" xr3:uid="{E0CF3904-EB27-4E29-8ED7-119365D3805B}" name="#case"/>
    <tableColumn id="5" xr3:uid="{504FA98E-D0B1-4562-A57F-8DC395DA922C}" name="DWS Account No"/>
    <tableColumn id="6" xr3:uid="{1B8BC92F-29EF-4804-BBA1-30ACAC379DB1}" name="Date 1"/>
    <tableColumn id="7" xr3:uid="{2AE841B7-9059-46AD-90CF-015F61ED79C3}" name="1. Employer"/>
    <tableColumn id="8" xr3:uid="{6DD0C285-51CC-4337-AE51-B8D2BE5A343F}" name="2. Name of Business To Be Terminated"/>
    <tableColumn id="9" xr3:uid="{7E1BE8A7-7B1A-40C4-89A5-7DA586F5B6FB}" name="3. Address Where This Busiess Is Located"/>
    <tableColumn id="10" xr3:uid="{26EB2849-F072-47EF-92ED-6A482488C8F8}" name="4. Date of Change or Termination"/>
    <tableColumn id="11" xr3:uid="{54846C63-163C-490B-966C-D152C7CB962A}" name="Check 5a"/>
    <tableColumn id="12" xr3:uid="{ED0176C6-35E5-45DB-BE30-F3B5D0E8DD8F}" name="Bankruptcy filed under"/>
    <tableColumn id="13" xr3:uid="{8654CB8D-0924-432D-86BB-4FE6E42E9726}" name="check 5b"/>
    <tableColumn id="14" xr3:uid="{43C71042-1DEA-4827-93F6-152C2389A808}" name="5. (a) Name, Address, and Title"/>
    <tableColumn id="15" xr3:uid="{B9D979FC-98D9-4BBB-BAB5-F2E94FC669B3}" name="5. (a) Name and Address where Payroll Records"/>
    <tableColumn id="16" xr3:uid="{5233899D-4002-4794-9CA9-CCB1CB9AACB8}" name="check 5c"/>
    <tableColumn id="17" xr3:uid="{3025775A-DA11-4EB3-A406-467DD2088A20}" name="check 5d"/>
    <tableColumn id="18" xr3:uid="{1934E5EC-83CD-4C3C-A53A-4A355B29416C}" name="check 5e"/>
    <tableColumn id="19" xr3:uid="{ADCBBF8D-2B89-4534-BE9E-F254EB8A243D}" name="5. (e) Other Specify"/>
    <tableColumn id="20" xr3:uid="{8DDB71DF-826B-4BA8-9413-6D47495D2188}" name="Check below reason for Termination"/>
    <tableColumn id="21" xr3:uid="{179C85BA-1E7A-47F9-9F6F-6277DE6E08D6}" name="5. (f) Merger/Consolidated with"/>
    <tableColumn id="22" xr3:uid="{1FC4670D-25AF-42C6-B52C-1C260AB89874}" name="Check below reason for Termination2"/>
    <tableColumn id="23" xr3:uid="{EFF3BF72-F71E-4409-B373-9EC7D0559E6D}" name="5. (g) Sold to"/>
    <tableColumn id="24" xr3:uid="{17321F5C-CB95-4766-B231-C5DEBF3CD768}" name="Successor's  Business Name and Mailing Address"/>
    <tableColumn id="25" xr3:uid="{BF997305-D1CF-481E-AED7-6C20A989E992}" name="6. (a) yes"/>
    <tableColumn id="26" xr3:uid="{3BF9E4C0-C756-469D-ABF0-79C9FB884C96}" name="6. (a) no"/>
    <tableColumn id="27" xr3:uid="{FC5592A9-F173-4830-917B-2580DA43EF3E}" name="6. (b) Name of Business"/>
    <tableColumn id="28" xr3:uid="{CDB50005-A23F-4218-AC2E-23D5AD58DEF2}" name="6. (b) Name of Business 2"/>
    <tableColumn id="29" xr3:uid="{993DE74E-7098-4296-9C3F-8C03C590FC3E}" name="6. (b) Street Address"/>
    <tableColumn id="30" xr3:uid="{9BC98322-04E4-49CF-B06A-380453EC0394}" name="6. (b) Street Address 2"/>
    <tableColumn id="31" xr3:uid="{85B51939-51B7-439D-BBFC-5001FEA0B670}" name="6. (b) Town State Zip"/>
    <tableColumn id="32" xr3:uid="{5B070958-A492-4962-BE91-0EBB955A2F52}" name="6. (b) Town State Zip 2"/>
    <tableColumn id="33" xr3:uid="{24749C5B-43B2-404F-9D37-24C4B23BAA66}" name="6. (b) No. of Employees"/>
    <tableColumn id="34" xr3:uid="{4EC59097-A230-48BD-B5A5-DDCB26BBA2AB}" name="6. (b) No. of Employees 2"/>
    <tableColumn id="35" xr3:uid="{39385BBD-9C8D-43E3-BCE6-5D1D33320994}" name="Tit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5662C8-4D11-418B-B2C7-345FF96301AA}" name="tblMap" displayName="tblMap" ref="F4:K36" totalsRowShown="0">
  <autoFilter ref="F4:K36" xr:uid="{015662C8-4D11-418B-B2C7-345FF96301AA}"/>
  <tableColumns count="6">
    <tableColumn id="3" xr3:uid="{493F3558-4DFC-4C20-AD72-B79EF5FBFDD5}" name="Estado"/>
    <tableColumn id="5" xr3:uid="{E900DCE0-048B-4E07-B551-B47B8F49F3BF}" name="Proceso"/>
    <tableColumn id="1" xr3:uid="{225E887C-E6C9-449F-91C1-A3DCB0269F6A}" name="field_pdf"/>
    <tableColumn id="2" xr3:uid="{B0CE1566-781C-4F5F-9F10-922FAC0F8ECC}" name="header_excel"/>
    <tableColumn id="4" xr3:uid="{6D500719-2BA9-4C7F-BF5A-E8ACED7390B1}" name="Aporte Isa"/>
    <tableColumn id="6" xr3:uid="{A730A569-F9BF-4272-B2AB-649167C53B59}" name="Donde esta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0AC7E8-32FC-4470-AF1B-F42F245EDB13}" name="tblConfig" displayName="tblConfig" ref="E6:M8" totalsRowShown="0">
  <autoFilter ref="E6:M8" xr:uid="{9E0AC7E8-32FC-4470-AF1B-F42F245EDB13}"/>
  <tableColumns count="9">
    <tableColumn id="1" xr3:uid="{565FE029-5565-494D-9FCC-E0713EBE5B4F}" name="Estado"/>
    <tableColumn id="2" xr3:uid="{81A967E6-0FF9-4600-9129-52D18833E18B}" name="Abreviatura" dataDxfId="1"/>
    <tableColumn id="3" xr3:uid="{00512721-5E9F-473B-90BE-52D3FB638337}" name="Proceso"/>
    <tableColumn id="4" xr3:uid="{B7C00D92-A95D-461B-A580-37EAD6922E69}" name="PlantillaPDF"/>
    <tableColumn id="5" xr3:uid="{3BD33224-B76B-433C-8B1E-E6A6F2AB9A9B}" name="RutaPlantilla"/>
    <tableColumn id="6" xr3:uid="{C72B1290-FD73-4914-B809-28DEB2E5C989}" name="CarpetaSalida"/>
    <tableColumn id="7" xr3:uid="{6AEB7768-A356-4A5C-948A-DA3FDB4BDA64}" name="HojaData"/>
    <tableColumn id="8" xr3:uid="{25D614CF-93F1-4DD0-8931-BDB1847CADF8}" name="HojaCampos"/>
    <tableColumn id="9" xr3:uid="{51F25CEA-B263-42A8-8BD3-EEDCEDAC4CBF}" name="Activ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EF26CE-7373-4461-9D6A-5BCF1BA057D9}" name="tblLog" displayName="tblLog" ref="E6:L7" insertRow="1" totalsRowShown="0">
  <autoFilter ref="E6:L7" xr:uid="{B7EF26CE-7373-4461-9D6A-5BCF1BA057D9}"/>
  <tableColumns count="8">
    <tableColumn id="1" xr3:uid="{23E4C633-C8D1-407E-A334-26071212DC10}" name="Fecha"/>
    <tableColumn id="2" xr3:uid="{18A4137D-B32B-4A86-BB0D-88C2B15AFADA}" name="Hora"/>
    <tableColumn id="3" xr3:uid="{56DD6D99-785A-4971-B437-4C6401A73CDC}" name="Estado"/>
    <tableColumn id="4" xr3:uid="{887E367D-2911-47C4-BD8F-173E5E67B1BE}" name="Proceso"/>
    <tableColumn id="5" xr3:uid="{39B20724-78DE-4436-9C71-20C664944C5E}" name="Fila procesada"/>
    <tableColumn id="6" xr3:uid="{02F6C064-3449-457C-90B7-8D709888A856}" name="Resultado"/>
    <tableColumn id="7" xr3:uid="{0C350216-9C32-4EAE-A88C-2D88B5527628}" name="Mensaje de error"/>
    <tableColumn id="8" xr3:uid="{1EB9E899-1E1D-4730-907C-27CA61595304}" name="Ruta PDF Gener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C3924D1-1309-4D85-8DB6-4E9656D4E000}" name="tblHelper1" displayName="tblHelper1" ref="A1:D52" totalsRowShown="0">
  <autoFilter ref="A1:D52" xr:uid="{8C3924D1-1309-4D85-8DB6-4E9656D4E000}"/>
  <tableColumns count="4">
    <tableColumn id="1" xr3:uid="{E3D24AA3-FD6D-4D9B-9FDF-06D88B560305}" name="State"/>
    <tableColumn id="2" xr3:uid="{08DA55E3-3041-40B5-A053-0872E916AB70}" name="Value" dataDxfId="0">
      <calculatedColumnFormula>IF(A2=Dashboard!$E$8,1,0)</calculatedColumnFormula>
    </tableColumn>
    <tableColumn id="3" xr3:uid="{10780CE6-B39F-4305-BDE3-487EDC05FEC4}" name="Abreviatura"/>
    <tableColumn id="4" xr3:uid="{11C5E671-21B3-4438-86A8-B2EA58A4F7F2}" name="Proceso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961C3-5F7A-4701-ABBC-A3D9F2F13764}" name="tblHelper2" displayName="tblHelper2" ref="G1:G4" totalsRowShown="0">
  <autoFilter ref="G1:G4" xr:uid="{225961C3-5F7A-4701-ABBC-A3D9F2F13764}"/>
  <tableColumns count="1">
    <tableColumn id="1" xr3:uid="{AC27FBA0-DF9B-4B3B-A344-D15D9C9CFDE6}" name="Respons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8AC6F-AA7C-407E-889E-ACCC62BC0EEB}">
  <sheetPr codeName="Sheet3">
    <pageSetUpPr autoPageBreaks="0"/>
  </sheetPr>
  <dimension ref="A1:T35"/>
  <sheetViews>
    <sheetView showGridLines="0" zoomScaleNormal="100" workbookViewId="0">
      <pane xSplit="3" topLeftCell="D1" activePane="topRight" state="frozen"/>
      <selection pane="topRight"/>
    </sheetView>
  </sheetViews>
  <sheetFormatPr defaultRowHeight="14.4"/>
  <cols>
    <col min="1" max="1" width="18.21875" bestFit="1" customWidth="1"/>
    <col min="3" max="3" width="8" customWidth="1"/>
    <col min="9" max="9" width="12.44140625" bestFit="1" customWidth="1"/>
    <col min="12" max="12" width="19.33203125" bestFit="1" customWidth="1"/>
    <col min="13" max="13" width="61.33203125" bestFit="1" customWidth="1"/>
    <col min="16" max="16" width="4.6640625" bestFit="1" customWidth="1"/>
    <col min="17" max="17" width="5.77734375" bestFit="1" customWidth="1"/>
  </cols>
  <sheetData>
    <row r="1" spans="1:20" ht="14.4" customHeight="1">
      <c r="A1" s="3"/>
      <c r="B1" s="3"/>
      <c r="C1" s="3"/>
      <c r="D1" s="3"/>
      <c r="E1" s="9" t="s">
        <v>202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</row>
    <row r="2" spans="1:20" ht="14.4" customHeight="1">
      <c r="A2" s="3"/>
      <c r="B2" s="3"/>
      <c r="C2" s="3"/>
      <c r="D2" s="3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ht="14.4" customHeight="1">
      <c r="A3" s="3"/>
      <c r="B3" s="3"/>
      <c r="C3" s="3"/>
      <c r="D3" s="3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ht="16.8">
      <c r="A4" s="4"/>
      <c r="B4" s="4"/>
      <c r="C4" s="4"/>
      <c r="D4" s="4"/>
      <c r="E4" s="10" t="s">
        <v>203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</row>
    <row r="6" spans="1:20">
      <c r="D6" s="7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</row>
    <row r="7" spans="1:20">
      <c r="D7" s="7"/>
      <c r="E7" t="s">
        <v>174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</row>
    <row r="8" spans="1:20">
      <c r="D8" s="7"/>
      <c r="E8" t="s">
        <v>78</v>
      </c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20">
      <c r="D9" s="7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 spans="1:20">
      <c r="D10" s="7"/>
      <c r="E10" t="s">
        <v>175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 spans="1:20">
      <c r="D11" s="7"/>
      <c r="E11" t="s">
        <v>64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 spans="1:20">
      <c r="D12" s="7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 spans="1:20">
      <c r="D13" s="7"/>
      <c r="E13" t="s">
        <v>186</v>
      </c>
    </row>
    <row r="14" spans="1:20">
      <c r="D14" s="7"/>
      <c r="E14" t="s">
        <v>190</v>
      </c>
    </row>
    <row r="15" spans="1:20">
      <c r="D15" s="7"/>
    </row>
    <row r="16" spans="1:20">
      <c r="D16" s="7"/>
      <c r="N16" t="s">
        <v>192</v>
      </c>
    </row>
    <row r="17" spans="4:14">
      <c r="D17" s="7"/>
      <c r="N17" t="str">
        <f>IF(E8="","",_xlfn.XLOOKUP(E8,Hidden_Helper!A:A,Hidden_Helper!C:C))</f>
        <v>AR</v>
      </c>
    </row>
    <row r="18" spans="4:14">
      <c r="D18" s="7"/>
    </row>
    <row r="19" spans="4:14">
      <c r="D19" s="7"/>
      <c r="N19" t="s">
        <v>185</v>
      </c>
    </row>
    <row r="20" spans="4:14">
      <c r="D20" s="7"/>
      <c r="N20" t="str">
        <f>IF(OR(E8="",E11=""),"",_xlfn.XLOOKUP(N17 &amp; "_" &amp; E11 &amp; ".pdf",tblConfig[PlantillaPDF],tblConfig[Activo],"State not active"))</f>
        <v>Si</v>
      </c>
    </row>
    <row r="21" spans="4:14">
      <c r="D21" s="7"/>
    </row>
    <row r="22" spans="4:14">
      <c r="D22" s="7"/>
      <c r="N22" t="s">
        <v>176</v>
      </c>
    </row>
    <row r="23" spans="4:14">
      <c r="D23" s="7"/>
      <c r="N23" t="str">
        <f>E11</f>
        <v>TERM</v>
      </c>
    </row>
    <row r="24" spans="4:14">
      <c r="D24" s="7"/>
    </row>
    <row r="25" spans="4:14">
      <c r="D25" s="7"/>
      <c r="N25" t="s">
        <v>177</v>
      </c>
    </row>
    <row r="26" spans="4:14">
      <c r="D26" s="7"/>
      <c r="N26" t="str">
        <f>IF(OR(E8="",E11=""),"",_xlfn.XLOOKUP(N17 &amp; "_" &amp; E11 &amp; ".pdf", tblConfig[PlantillaPDF],tblConfig[RutaPlantilla],"Template not found"))</f>
        <v>C:\Users\Santiago.Betancur\OneDrive - Employer Solutions\Desktop\auto\Templates\AR_TERM.pdf</v>
      </c>
    </row>
    <row r="27" spans="4:14">
      <c r="D27" s="7"/>
    </row>
    <row r="28" spans="4:14">
      <c r="D28" s="7"/>
      <c r="N28" t="s">
        <v>193</v>
      </c>
    </row>
    <row r="29" spans="4:14">
      <c r="D29" s="7"/>
      <c r="N29" t="str">
        <f>IF(OR(E8="",E11=""),"",_xlfn.XLOOKUP(N17&amp;"_"&amp;E11&amp;".pdf",tblConfig[PlantillaPDF],tblConfig[CarpetaSalida],"Template not found"))</f>
        <v>C:\Users\Santiago.Betancur\OneDrive - Employer Solutions\Desktop\auto\Salida_PDFs\AR\TERM</v>
      </c>
    </row>
    <row r="30" spans="4:14">
      <c r="D30" s="7"/>
    </row>
    <row r="31" spans="4:14">
      <c r="N31" t="s">
        <v>178</v>
      </c>
    </row>
    <row r="32" spans="4:14">
      <c r="N32" s="2">
        <f>COUNTIFS(tblData[Estado],Dashboard!E8,tblData[Proceso],Dashboard!E11,tblData[Creado],"NO") + COUNTIFS(tblData[Estado],Dashboard!E8,tblData[Proceso],Dashboard!E11,tblData[Creado],"")</f>
        <v>7</v>
      </c>
    </row>
    <row r="34" spans="14:14">
      <c r="N34" t="s">
        <v>182</v>
      </c>
    </row>
    <row r="35" spans="14:14">
      <c r="N35" t="str">
        <f>IF(AND(N32&lt;&gt;0,N32&lt;&gt;""),"Procesar","No Procesar")</f>
        <v>Procesar</v>
      </c>
    </row>
  </sheetData>
  <dataConsolidate/>
  <mergeCells count="2">
    <mergeCell ref="E1:T3"/>
    <mergeCell ref="E4:T4"/>
  </mergeCells>
  <dataValidations count="1">
    <dataValidation type="list" allowBlank="1" showInputMessage="1" showErrorMessage="1" sqref="E11" xr:uid="{8AD1507B-26BE-4186-8DDD-B16438DA38CC}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3B370F3-7A91-4D00-B58E-EAFD688300ED}">
          <x14:formula1>
            <xm:f>Hidden_Helper!$A$2:$A$52</xm:f>
          </x14:formula1>
          <xm:sqref>E8</xm:sqref>
        </x14:dataValidation>
        <x14:dataValidation type="list" allowBlank="1" showInputMessage="1" showErrorMessage="1" xr:uid="{34F1EDDD-848E-4F94-9FAE-2D39C2E4FD85}">
          <x14:formula1>
            <xm:f>Hidden_Helper!$G$2:$G$4</xm:f>
          </x14:formula1>
          <xm:sqref>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1EB58-8E6E-4D01-8493-1CB9A93746AD}">
  <sheetPr codeName="Sheet7"/>
  <dimension ref="A1:T42"/>
  <sheetViews>
    <sheetView workbookViewId="0">
      <pane xSplit="3" topLeftCell="D1" activePane="topRight" state="frozen"/>
      <selection pane="topRight"/>
    </sheetView>
  </sheetViews>
  <sheetFormatPr defaultRowHeight="14.4"/>
  <cols>
    <col min="1" max="1" width="18.21875" bestFit="1" customWidth="1"/>
    <col min="3" max="3" width="8" customWidth="1"/>
    <col min="5" max="5" width="43.5546875" bestFit="1" customWidth="1"/>
    <col min="6" max="6" width="13.33203125" customWidth="1"/>
    <col min="8" max="8" width="9.6640625" bestFit="1" customWidth="1"/>
  </cols>
  <sheetData>
    <row r="1" spans="1:20" ht="15" customHeight="1">
      <c r="A1" s="3"/>
      <c r="B1" s="3"/>
      <c r="C1" s="3"/>
      <c r="D1" s="3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ht="15" customHeight="1">
      <c r="A2" s="3"/>
      <c r="B2" s="3"/>
      <c r="C2" s="3"/>
      <c r="D2" s="3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0" ht="15" customHeight="1">
      <c r="A3" s="3"/>
      <c r="B3" s="3"/>
      <c r="C3" s="3"/>
      <c r="D3" s="3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1:20" ht="15" customHeight="1">
      <c r="A4" s="4"/>
      <c r="B4" s="4"/>
      <c r="C4" s="4"/>
      <c r="D4" s="4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7" spans="1:20">
      <c r="E7" t="s">
        <v>174</v>
      </c>
      <c r="F7" t="str">
        <f>Dashboard!E8</f>
        <v>Arkansas</v>
      </c>
    </row>
    <row r="8" spans="1:20">
      <c r="E8" t="s">
        <v>175</v>
      </c>
      <c r="F8" t="str">
        <f>Dashboard!E11</f>
        <v>TERM</v>
      </c>
    </row>
    <row r="9" spans="1:20">
      <c r="H9" s="5" t="s">
        <v>204</v>
      </c>
    </row>
    <row r="10" spans="1:20">
      <c r="H10" t="s">
        <v>227</v>
      </c>
    </row>
    <row r="12" spans="1:20">
      <c r="E12" s="5" t="s">
        <v>20</v>
      </c>
      <c r="F12" s="6"/>
    </row>
    <row r="13" spans="1:20">
      <c r="E13" s="5" t="s">
        <v>21</v>
      </c>
      <c r="F13" s="6"/>
    </row>
    <row r="14" spans="1:20">
      <c r="E14" s="5" t="s">
        <v>22</v>
      </c>
      <c r="F14" s="6"/>
    </row>
    <row r="15" spans="1:20">
      <c r="E15" s="5" t="s">
        <v>23</v>
      </c>
      <c r="F15" s="6"/>
    </row>
    <row r="16" spans="1:20">
      <c r="E16" s="5" t="s">
        <v>24</v>
      </c>
      <c r="F16" s="6"/>
    </row>
    <row r="17" spans="5:6">
      <c r="E17" s="5" t="s">
        <v>25</v>
      </c>
      <c r="F17" s="6"/>
    </row>
    <row r="18" spans="5:6">
      <c r="E18" s="5" t="s">
        <v>41</v>
      </c>
      <c r="F18" s="6"/>
    </row>
    <row r="19" spans="5:6">
      <c r="E19" s="5" t="s">
        <v>26</v>
      </c>
      <c r="F19" s="6"/>
    </row>
    <row r="20" spans="5:6">
      <c r="E20" s="5" t="s">
        <v>42</v>
      </c>
      <c r="F20" s="6"/>
    </row>
    <row r="21" spans="5:6">
      <c r="E21" s="5" t="s">
        <v>27</v>
      </c>
      <c r="F21" s="6"/>
    </row>
    <row r="22" spans="5:6">
      <c r="E22" s="5" t="s">
        <v>28</v>
      </c>
      <c r="F22" s="6"/>
    </row>
    <row r="23" spans="5:6">
      <c r="E23" s="5" t="s">
        <v>43</v>
      </c>
      <c r="F23" s="6"/>
    </row>
    <row r="24" spans="5:6">
      <c r="E24" s="5" t="s">
        <v>44</v>
      </c>
      <c r="F24" s="6"/>
    </row>
    <row r="25" spans="5:6">
      <c r="E25" s="5" t="s">
        <v>45</v>
      </c>
      <c r="F25" s="6"/>
    </row>
    <row r="26" spans="5:6">
      <c r="E26" s="5" t="s">
        <v>46</v>
      </c>
      <c r="F26" s="6"/>
    </row>
    <row r="27" spans="5:6">
      <c r="E27" s="5" t="s">
        <v>47</v>
      </c>
      <c r="F27" s="6"/>
    </row>
    <row r="28" spans="5:6">
      <c r="E28" s="5" t="s">
        <v>29</v>
      </c>
      <c r="F28" s="6"/>
    </row>
    <row r="29" spans="5:6">
      <c r="E29" s="5" t="s">
        <v>47</v>
      </c>
      <c r="F29" s="6"/>
    </row>
    <row r="30" spans="5:6">
      <c r="E30" s="5" t="s">
        <v>30</v>
      </c>
      <c r="F30" s="6"/>
    </row>
    <row r="31" spans="5:6">
      <c r="E31" s="5" t="s">
        <v>31</v>
      </c>
      <c r="F31" s="6"/>
    </row>
    <row r="32" spans="5:6">
      <c r="E32" s="5" t="s">
        <v>48</v>
      </c>
      <c r="F32" s="6"/>
    </row>
    <row r="33" spans="5:6">
      <c r="E33" s="5" t="s">
        <v>49</v>
      </c>
      <c r="F33" s="6"/>
    </row>
    <row r="34" spans="5:6">
      <c r="E34" s="5" t="s">
        <v>32</v>
      </c>
      <c r="F34" s="6"/>
    </row>
    <row r="35" spans="5:6">
      <c r="E35" s="5" t="s">
        <v>33</v>
      </c>
      <c r="F35" s="6"/>
    </row>
    <row r="36" spans="5:6">
      <c r="E36" s="5" t="s">
        <v>34</v>
      </c>
      <c r="F36" s="6"/>
    </row>
    <row r="37" spans="5:6">
      <c r="E37" s="5" t="s">
        <v>35</v>
      </c>
      <c r="F37" s="6"/>
    </row>
    <row r="38" spans="5:6">
      <c r="E38" s="5" t="s">
        <v>36</v>
      </c>
      <c r="F38" s="6"/>
    </row>
    <row r="39" spans="5:6">
      <c r="E39" s="5" t="s">
        <v>37</v>
      </c>
      <c r="F39" s="6"/>
    </row>
    <row r="40" spans="5:6">
      <c r="E40" s="5" t="s">
        <v>38</v>
      </c>
      <c r="F40" s="6"/>
    </row>
    <row r="41" spans="5:6">
      <c r="E41" s="5" t="s">
        <v>39</v>
      </c>
      <c r="F41" s="6"/>
    </row>
    <row r="42" spans="5:6">
      <c r="E42" s="5" t="s">
        <v>40</v>
      </c>
      <c r="F42" s="6"/>
    </row>
  </sheetData>
  <mergeCells count="2">
    <mergeCell ref="E1:T3"/>
    <mergeCell ref="E4:T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rPanelEntrada">
                <anchor moveWithCells="1" sizeWithCells="1">
                  <from>
                    <xdr:col>7</xdr:col>
                    <xdr:colOff>7620</xdr:colOff>
                    <xdr:row>5</xdr:row>
                    <xdr:rowOff>7620</xdr:rowOff>
                  </from>
                  <to>
                    <xdr:col>9</xdr:col>
                    <xdr:colOff>15240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uardarRegistro">
                <anchor moveWithCells="1">
                  <from>
                    <xdr:col>9</xdr:col>
                    <xdr:colOff>609600</xdr:colOff>
                    <xdr:row>4</xdr:row>
                    <xdr:rowOff>175260</xdr:rowOff>
                  </from>
                  <to>
                    <xdr:col>11</xdr:col>
                    <xdr:colOff>601980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4"/>
  <sheetViews>
    <sheetView workbookViewId="0">
      <pane xSplit="3" topLeftCell="D1" activePane="topRight" state="frozen"/>
      <selection pane="topRight"/>
    </sheetView>
  </sheetViews>
  <sheetFormatPr defaultRowHeight="14.4"/>
  <cols>
    <col min="1" max="1" width="18.21875" bestFit="1" customWidth="1"/>
    <col min="3" max="3" width="8" customWidth="1"/>
    <col min="5" max="5" width="26.109375" bestFit="1" customWidth="1"/>
    <col min="6" max="6" width="24.5546875" bestFit="1" customWidth="1"/>
    <col min="7" max="7" width="13.77734375" bestFit="1" customWidth="1"/>
    <col min="8" max="8" width="34.5546875" bestFit="1" customWidth="1"/>
    <col min="9" max="9" width="36.5546875" bestFit="1" customWidth="1"/>
    <col min="10" max="10" width="29.88671875" bestFit="1" customWidth="1"/>
    <col min="11" max="11" width="11.5546875" customWidth="1"/>
    <col min="12" max="12" width="21" bestFit="1" customWidth="1"/>
    <col min="13" max="13" width="11.5546875" customWidth="1"/>
    <col min="14" max="14" width="27.77734375" bestFit="1" customWidth="1"/>
    <col min="15" max="15" width="42.44140625" bestFit="1" customWidth="1"/>
    <col min="16" max="18" width="11.5546875" customWidth="1"/>
    <col min="19" max="19" width="17.77734375" bestFit="1" customWidth="1"/>
    <col min="20" max="20" width="32.88671875" bestFit="1" customWidth="1"/>
    <col min="21" max="21" width="28.88671875" bestFit="1" customWidth="1"/>
    <col min="22" max="22" width="32.88671875" bestFit="1" customWidth="1"/>
    <col min="23" max="23" width="11.6640625" bestFit="1" customWidth="1"/>
    <col min="24" max="24" width="43.33203125" bestFit="1" customWidth="1"/>
    <col min="25" max="26" width="11.5546875" customWidth="1"/>
    <col min="27" max="27" width="21.5546875" bestFit="1" customWidth="1"/>
    <col min="28" max="28" width="22.88671875" bestFit="1" customWidth="1"/>
    <col min="29" max="29" width="18.77734375" bestFit="1" customWidth="1"/>
    <col min="30" max="30" width="20.109375" bestFit="1" customWidth="1"/>
    <col min="31" max="31" width="18.77734375" bestFit="1" customWidth="1"/>
    <col min="32" max="32" width="20.109375" bestFit="1" customWidth="1"/>
    <col min="33" max="33" width="21.33203125" customWidth="1"/>
    <col min="34" max="34" width="22.77734375" bestFit="1" customWidth="1"/>
    <col min="35" max="36" width="11.5546875" customWidth="1"/>
  </cols>
  <sheetData>
    <row r="1" spans="1:39" ht="15" customHeight="1">
      <c r="A1" s="3"/>
      <c r="B1" s="3"/>
      <c r="C1" s="3"/>
      <c r="D1" s="3"/>
    </row>
    <row r="2" spans="1:39" ht="15" customHeight="1">
      <c r="A2" s="3"/>
      <c r="B2" s="3"/>
      <c r="C2" s="3"/>
      <c r="D2" s="3"/>
    </row>
    <row r="3" spans="1:39" ht="15" customHeight="1">
      <c r="A3" s="3"/>
      <c r="B3" s="3"/>
      <c r="C3" s="3"/>
      <c r="D3" s="3"/>
    </row>
    <row r="4" spans="1:39" ht="16.8">
      <c r="A4" s="4"/>
      <c r="B4" s="4"/>
      <c r="C4" s="4"/>
      <c r="D4" s="4"/>
    </row>
    <row r="7" spans="1:39">
      <c r="E7" t="s">
        <v>52</v>
      </c>
      <c r="F7" t="s">
        <v>54</v>
      </c>
      <c r="G7" t="s">
        <v>51</v>
      </c>
      <c r="H7" t="s">
        <v>0</v>
      </c>
      <c r="I7" t="s">
        <v>20</v>
      </c>
      <c r="J7" t="s">
        <v>21</v>
      </c>
      <c r="K7" t="s">
        <v>22</v>
      </c>
      <c r="L7" t="s">
        <v>23</v>
      </c>
      <c r="M7" t="s">
        <v>24</v>
      </c>
      <c r="N7" t="s">
        <v>25</v>
      </c>
      <c r="O7" t="s">
        <v>41</v>
      </c>
      <c r="P7" t="s">
        <v>26</v>
      </c>
      <c r="Q7" t="s">
        <v>42</v>
      </c>
      <c r="R7" t="s">
        <v>27</v>
      </c>
      <c r="S7" t="s">
        <v>28</v>
      </c>
      <c r="T7" t="s">
        <v>43</v>
      </c>
      <c r="U7" t="s">
        <v>44</v>
      </c>
      <c r="V7" t="s">
        <v>45</v>
      </c>
      <c r="W7" t="s">
        <v>46</v>
      </c>
      <c r="X7" t="s">
        <v>47</v>
      </c>
      <c r="Y7" t="s">
        <v>29</v>
      </c>
      <c r="Z7" t="s">
        <v>179</v>
      </c>
      <c r="AA7" t="s">
        <v>30</v>
      </c>
      <c r="AB7" t="s">
        <v>31</v>
      </c>
      <c r="AC7" t="s">
        <v>48</v>
      </c>
      <c r="AD7" t="s">
        <v>49</v>
      </c>
      <c r="AE7" t="s">
        <v>32</v>
      </c>
      <c r="AF7" t="s">
        <v>33</v>
      </c>
      <c r="AG7" t="s">
        <v>34</v>
      </c>
      <c r="AH7" t="s">
        <v>35</v>
      </c>
      <c r="AI7" t="s">
        <v>36</v>
      </c>
      <c r="AJ7" t="s">
        <v>37</v>
      </c>
      <c r="AK7" t="s">
        <v>38</v>
      </c>
      <c r="AL7" t="s">
        <v>39</v>
      </c>
      <c r="AM7" t="s">
        <v>40</v>
      </c>
    </row>
    <row r="8" spans="1:39">
      <c r="E8" t="s">
        <v>78</v>
      </c>
      <c r="F8" t="s">
        <v>64</v>
      </c>
      <c r="H8" t="s">
        <v>1</v>
      </c>
      <c r="I8" t="s">
        <v>2</v>
      </c>
      <c r="J8" t="s">
        <v>3</v>
      </c>
      <c r="K8" t="s">
        <v>4</v>
      </c>
      <c r="L8" t="s">
        <v>5</v>
      </c>
      <c r="M8" t="s">
        <v>6</v>
      </c>
      <c r="N8" t="s">
        <v>7</v>
      </c>
      <c r="O8" t="s">
        <v>9</v>
      </c>
      <c r="P8" t="s">
        <v>8</v>
      </c>
      <c r="Q8" t="s">
        <v>9</v>
      </c>
      <c r="R8" t="s">
        <v>50</v>
      </c>
      <c r="S8" t="s">
        <v>50</v>
      </c>
      <c r="T8" t="s">
        <v>9</v>
      </c>
      <c r="U8" t="s">
        <v>9</v>
      </c>
      <c r="V8" t="s">
        <v>9</v>
      </c>
      <c r="W8" t="s">
        <v>50</v>
      </c>
      <c r="X8" t="s">
        <v>9</v>
      </c>
      <c r="Y8" t="s">
        <v>50</v>
      </c>
      <c r="Z8" t="s">
        <v>9</v>
      </c>
      <c r="AA8" t="s">
        <v>50</v>
      </c>
      <c r="AB8" t="s">
        <v>50</v>
      </c>
      <c r="AC8" t="s">
        <v>9</v>
      </c>
      <c r="AD8" t="s">
        <v>9</v>
      </c>
      <c r="AE8" t="s">
        <v>50</v>
      </c>
      <c r="AF8" t="s">
        <v>50</v>
      </c>
      <c r="AG8" t="s">
        <v>50</v>
      </c>
      <c r="AH8" t="s">
        <v>50</v>
      </c>
      <c r="AI8" t="s">
        <v>50</v>
      </c>
      <c r="AJ8" t="s">
        <v>50</v>
      </c>
      <c r="AK8" t="s">
        <v>50</v>
      </c>
      <c r="AL8" t="s">
        <v>50</v>
      </c>
      <c r="AM8" t="s">
        <v>50</v>
      </c>
    </row>
    <row r="9" spans="1:39">
      <c r="E9" t="s">
        <v>78</v>
      </c>
      <c r="F9" t="s">
        <v>64</v>
      </c>
      <c r="H9" t="s">
        <v>10</v>
      </c>
      <c r="I9" t="s">
        <v>11</v>
      </c>
      <c r="J9" t="s">
        <v>12</v>
      </c>
      <c r="K9" t="s">
        <v>13</v>
      </c>
      <c r="L9" t="s">
        <v>14</v>
      </c>
      <c r="M9" t="s">
        <v>15</v>
      </c>
      <c r="N9" t="s">
        <v>16</v>
      </c>
      <c r="O9" t="s">
        <v>9</v>
      </c>
      <c r="P9" t="s">
        <v>17</v>
      </c>
      <c r="Q9" t="s">
        <v>9</v>
      </c>
      <c r="R9" t="s">
        <v>50</v>
      </c>
      <c r="S9" t="s">
        <v>50</v>
      </c>
      <c r="T9" t="s">
        <v>9</v>
      </c>
      <c r="U9" t="s">
        <v>9</v>
      </c>
      <c r="V9" t="s">
        <v>9</v>
      </c>
      <c r="W9" t="s">
        <v>50</v>
      </c>
      <c r="X9" t="s">
        <v>9</v>
      </c>
      <c r="Y9" t="s">
        <v>50</v>
      </c>
      <c r="Z9" t="s">
        <v>9</v>
      </c>
      <c r="AA9" t="s">
        <v>50</v>
      </c>
      <c r="AB9" t="s">
        <v>50</v>
      </c>
      <c r="AC9" t="s">
        <v>9</v>
      </c>
      <c r="AD9" t="s">
        <v>9</v>
      </c>
      <c r="AE9" t="s">
        <v>50</v>
      </c>
      <c r="AF9" t="s">
        <v>50</v>
      </c>
      <c r="AG9" t="s">
        <v>50</v>
      </c>
      <c r="AH9" t="s">
        <v>50</v>
      </c>
      <c r="AI9" t="s">
        <v>50</v>
      </c>
      <c r="AJ9" t="s">
        <v>50</v>
      </c>
      <c r="AK9" t="s">
        <v>50</v>
      </c>
      <c r="AL9" t="s">
        <v>50</v>
      </c>
      <c r="AM9" t="s">
        <v>50</v>
      </c>
    </row>
    <row r="10" spans="1:39">
      <c r="E10" t="s">
        <v>78</v>
      </c>
      <c r="F10" t="s">
        <v>64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</row>
    <row r="11" spans="1:39">
      <c r="E11" t="s">
        <v>78</v>
      </c>
      <c r="F11" t="s">
        <v>64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</row>
    <row r="12" spans="1:39">
      <c r="E12" t="s">
        <v>78</v>
      </c>
      <c r="F12" t="s">
        <v>64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3</v>
      </c>
      <c r="V12">
        <v>3</v>
      </c>
      <c r="W12">
        <v>3</v>
      </c>
      <c r="X12">
        <v>3</v>
      </c>
      <c r="Y12">
        <v>3</v>
      </c>
      <c r="AA12">
        <v>3</v>
      </c>
      <c r="AB12">
        <v>3</v>
      </c>
      <c r="AC12">
        <v>3</v>
      </c>
      <c r="AD12">
        <v>3</v>
      </c>
      <c r="AE12">
        <v>3</v>
      </c>
      <c r="AF12">
        <v>3</v>
      </c>
      <c r="AG12">
        <v>3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</row>
    <row r="13" spans="1:39">
      <c r="E13" t="s">
        <v>78</v>
      </c>
      <c r="F13" t="s">
        <v>64</v>
      </c>
      <c r="H13" t="s">
        <v>205</v>
      </c>
      <c r="I13">
        <v>4</v>
      </c>
      <c r="J13">
        <v>4</v>
      </c>
      <c r="K13">
        <v>4</v>
      </c>
      <c r="L13">
        <v>4</v>
      </c>
      <c r="M13">
        <v>4</v>
      </c>
      <c r="N13">
        <v>4</v>
      </c>
      <c r="O13">
        <v>4</v>
      </c>
      <c r="P13">
        <v>4</v>
      </c>
      <c r="Q13">
        <v>4</v>
      </c>
      <c r="R13">
        <v>4</v>
      </c>
      <c r="S13">
        <v>4</v>
      </c>
      <c r="T13">
        <v>4</v>
      </c>
      <c r="U13">
        <v>4</v>
      </c>
      <c r="V13">
        <v>4</v>
      </c>
      <c r="W13">
        <v>4</v>
      </c>
      <c r="X13">
        <v>4</v>
      </c>
      <c r="Y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</row>
    <row r="14" spans="1:39">
      <c r="E14" t="s">
        <v>78</v>
      </c>
      <c r="F14" t="s">
        <v>64</v>
      </c>
      <c r="H14" t="s">
        <v>205</v>
      </c>
    </row>
  </sheetData>
  <phoneticPr fontId="1" type="noConversion"/>
  <dataValidations count="1">
    <dataValidation type="list" allowBlank="1" showInputMessage="1" showErrorMessage="1" sqref="G7:G14" xr:uid="{A82438D8-E6E5-497C-A6FC-6E90713EFA89}">
      <formula1>"NO,SI,ERROR"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24CD-3D00-4885-B881-D8FB95D94CC1}">
  <sheetPr codeName="Sheet2"/>
  <dimension ref="A1:K36"/>
  <sheetViews>
    <sheetView workbookViewId="0">
      <pane xSplit="3" topLeftCell="D1" activePane="topRight" state="frozen"/>
      <selection pane="topRight"/>
    </sheetView>
  </sheetViews>
  <sheetFormatPr defaultRowHeight="14.4"/>
  <cols>
    <col min="1" max="1" width="18.21875" customWidth="1"/>
    <col min="2" max="2" width="8.88671875" customWidth="1"/>
    <col min="3" max="3" width="8" customWidth="1"/>
    <col min="5" max="6" width="9.21875" customWidth="1"/>
    <col min="7" max="7" width="10" bestFit="1" customWidth="1"/>
    <col min="8" max="9" width="43.33203125" bestFit="1" customWidth="1"/>
    <col min="10" max="10" width="23.109375" customWidth="1"/>
    <col min="11" max="11" width="31.21875" bestFit="1" customWidth="1"/>
  </cols>
  <sheetData>
    <row r="1" spans="1:11" ht="15" customHeight="1">
      <c r="A1" s="3"/>
      <c r="B1" s="3"/>
      <c r="C1" s="3"/>
      <c r="D1" s="3"/>
    </row>
    <row r="2" spans="1:11" ht="15" customHeight="1">
      <c r="A2" s="3"/>
      <c r="B2" s="3"/>
      <c r="C2" s="3"/>
      <c r="D2" s="3"/>
    </row>
    <row r="3" spans="1:11" ht="15" customHeight="1">
      <c r="A3" s="3"/>
      <c r="B3" s="3"/>
      <c r="C3" s="3"/>
      <c r="D3" s="3"/>
    </row>
    <row r="4" spans="1:11" ht="16.8">
      <c r="A4" s="4"/>
      <c r="B4" s="4"/>
      <c r="C4" s="4"/>
      <c r="D4" s="4"/>
      <c r="F4" t="s">
        <v>52</v>
      </c>
      <c r="G4" t="s">
        <v>54</v>
      </c>
      <c r="H4" t="s">
        <v>18</v>
      </c>
      <c r="I4" t="s">
        <v>19</v>
      </c>
      <c r="J4" t="s">
        <v>206</v>
      </c>
      <c r="K4" t="s">
        <v>209</v>
      </c>
    </row>
    <row r="5" spans="1:11">
      <c r="F5" t="s">
        <v>78</v>
      </c>
      <c r="G5" t="s">
        <v>64</v>
      </c>
      <c r="H5" t="s">
        <v>20</v>
      </c>
      <c r="I5" t="s">
        <v>20</v>
      </c>
      <c r="J5" t="s">
        <v>207</v>
      </c>
      <c r="K5" t="s">
        <v>208</v>
      </c>
    </row>
    <row r="6" spans="1:11">
      <c r="F6" t="s">
        <v>78</v>
      </c>
      <c r="G6" t="s">
        <v>64</v>
      </c>
      <c r="H6" t="s">
        <v>21</v>
      </c>
      <c r="I6" t="s">
        <v>21</v>
      </c>
      <c r="J6" t="s">
        <v>210</v>
      </c>
    </row>
    <row r="7" spans="1:11">
      <c r="F7" t="s">
        <v>78</v>
      </c>
      <c r="G7" t="s">
        <v>64</v>
      </c>
      <c r="H7" t="s">
        <v>22</v>
      </c>
      <c r="I7" t="s">
        <v>22</v>
      </c>
      <c r="J7" t="s">
        <v>211</v>
      </c>
      <c r="K7" t="s">
        <v>208</v>
      </c>
    </row>
    <row r="8" spans="1:11">
      <c r="F8" t="s">
        <v>78</v>
      </c>
      <c r="G8" t="s">
        <v>64</v>
      </c>
      <c r="H8" t="s">
        <v>23</v>
      </c>
      <c r="I8" t="s">
        <v>23</v>
      </c>
      <c r="J8" t="s">
        <v>212</v>
      </c>
      <c r="K8" t="s">
        <v>214</v>
      </c>
    </row>
    <row r="9" spans="1:11">
      <c r="F9" t="s">
        <v>78</v>
      </c>
      <c r="G9" t="s">
        <v>64</v>
      </c>
      <c r="H9" t="s">
        <v>24</v>
      </c>
      <c r="I9" t="s">
        <v>24</v>
      </c>
      <c r="J9" t="s">
        <v>213</v>
      </c>
      <c r="K9" t="s">
        <v>208</v>
      </c>
    </row>
    <row r="10" spans="1:11">
      <c r="F10" t="s">
        <v>78</v>
      </c>
      <c r="G10" t="s">
        <v>64</v>
      </c>
      <c r="H10" t="s">
        <v>25</v>
      </c>
      <c r="I10" t="s">
        <v>25</v>
      </c>
      <c r="J10" t="s">
        <v>215</v>
      </c>
      <c r="K10" t="s">
        <v>216</v>
      </c>
    </row>
    <row r="11" spans="1:11">
      <c r="F11" t="s">
        <v>78</v>
      </c>
      <c r="G11" t="s">
        <v>64</v>
      </c>
      <c r="H11" t="s">
        <v>41</v>
      </c>
      <c r="I11" t="s">
        <v>41</v>
      </c>
      <c r="J11" t="s">
        <v>217</v>
      </c>
    </row>
    <row r="12" spans="1:11">
      <c r="F12" t="s">
        <v>78</v>
      </c>
      <c r="G12" t="s">
        <v>64</v>
      </c>
      <c r="H12" t="s">
        <v>26</v>
      </c>
      <c r="I12" t="s">
        <v>26</v>
      </c>
      <c r="J12" t="s">
        <v>217</v>
      </c>
    </row>
    <row r="13" spans="1:11">
      <c r="F13" t="s">
        <v>78</v>
      </c>
      <c r="G13" t="s">
        <v>64</v>
      </c>
      <c r="H13" t="s">
        <v>42</v>
      </c>
      <c r="I13" t="s">
        <v>42</v>
      </c>
      <c r="J13" t="s">
        <v>218</v>
      </c>
    </row>
    <row r="14" spans="1:11">
      <c r="F14" t="s">
        <v>78</v>
      </c>
      <c r="G14" t="s">
        <v>64</v>
      </c>
      <c r="H14" t="s">
        <v>27</v>
      </c>
      <c r="I14" t="s">
        <v>27</v>
      </c>
      <c r="J14" t="s">
        <v>217</v>
      </c>
    </row>
    <row r="15" spans="1:11">
      <c r="F15" t="s">
        <v>78</v>
      </c>
      <c r="G15" t="s">
        <v>64</v>
      </c>
      <c r="H15" t="s">
        <v>28</v>
      </c>
      <c r="I15" t="s">
        <v>28</v>
      </c>
      <c r="J15" t="s">
        <v>217</v>
      </c>
    </row>
    <row r="16" spans="1:11">
      <c r="F16" t="s">
        <v>78</v>
      </c>
      <c r="G16" t="s">
        <v>64</v>
      </c>
      <c r="H16" t="s">
        <v>43</v>
      </c>
      <c r="I16" t="s">
        <v>43</v>
      </c>
      <c r="J16" t="s">
        <v>219</v>
      </c>
      <c r="K16" t="s">
        <v>208</v>
      </c>
    </row>
    <row r="17" spans="6:11">
      <c r="F17" t="s">
        <v>78</v>
      </c>
      <c r="G17" t="s">
        <v>64</v>
      </c>
      <c r="H17" t="s">
        <v>44</v>
      </c>
      <c r="I17" t="s">
        <v>44</v>
      </c>
      <c r="K17" t="s">
        <v>208</v>
      </c>
    </row>
    <row r="18" spans="6:11">
      <c r="F18" t="s">
        <v>78</v>
      </c>
      <c r="G18" t="s">
        <v>64</v>
      </c>
      <c r="H18" t="s">
        <v>45</v>
      </c>
      <c r="I18" t="s">
        <v>45</v>
      </c>
      <c r="J18" t="s">
        <v>220</v>
      </c>
      <c r="K18" t="s">
        <v>208</v>
      </c>
    </row>
    <row r="19" spans="6:11">
      <c r="F19" t="s">
        <v>78</v>
      </c>
      <c r="G19" t="s">
        <v>64</v>
      </c>
      <c r="H19" t="s">
        <v>46</v>
      </c>
      <c r="I19" t="s">
        <v>46</v>
      </c>
      <c r="J19" t="s">
        <v>221</v>
      </c>
      <c r="K19" t="s">
        <v>222</v>
      </c>
    </row>
    <row r="20" spans="6:11">
      <c r="F20" t="s">
        <v>78</v>
      </c>
      <c r="G20" t="s">
        <v>64</v>
      </c>
      <c r="H20" t="s">
        <v>47</v>
      </c>
      <c r="I20" t="s">
        <v>47</v>
      </c>
      <c r="J20" t="s">
        <v>217</v>
      </c>
    </row>
    <row r="21" spans="6:11">
      <c r="F21" t="s">
        <v>78</v>
      </c>
      <c r="G21" t="s">
        <v>64</v>
      </c>
      <c r="H21" t="s">
        <v>29</v>
      </c>
      <c r="I21" t="s">
        <v>29</v>
      </c>
      <c r="J21" t="s">
        <v>217</v>
      </c>
    </row>
    <row r="22" spans="6:11">
      <c r="F22" t="s">
        <v>78</v>
      </c>
      <c r="G22" t="s">
        <v>64</v>
      </c>
      <c r="H22" t="s">
        <v>47</v>
      </c>
      <c r="I22" t="s">
        <v>47</v>
      </c>
      <c r="J22" t="s">
        <v>217</v>
      </c>
    </row>
    <row r="23" spans="6:11">
      <c r="F23" t="s">
        <v>78</v>
      </c>
      <c r="G23" t="s">
        <v>64</v>
      </c>
      <c r="H23" t="s">
        <v>30</v>
      </c>
      <c r="I23" t="s">
        <v>30</v>
      </c>
      <c r="J23" t="s">
        <v>217</v>
      </c>
    </row>
    <row r="24" spans="6:11">
      <c r="F24" t="s">
        <v>78</v>
      </c>
      <c r="G24" t="s">
        <v>64</v>
      </c>
      <c r="H24" t="s">
        <v>31</v>
      </c>
      <c r="I24" t="s">
        <v>31</v>
      </c>
      <c r="J24" t="s">
        <v>217</v>
      </c>
    </row>
    <row r="25" spans="6:11">
      <c r="F25" t="s">
        <v>78</v>
      </c>
      <c r="G25" t="s">
        <v>64</v>
      </c>
      <c r="H25" t="s">
        <v>48</v>
      </c>
      <c r="I25" t="s">
        <v>48</v>
      </c>
    </row>
    <row r="26" spans="6:11">
      <c r="F26" t="s">
        <v>78</v>
      </c>
      <c r="G26" t="s">
        <v>64</v>
      </c>
      <c r="H26" t="s">
        <v>49</v>
      </c>
      <c r="I26" t="s">
        <v>49</v>
      </c>
      <c r="J26" t="s">
        <v>223</v>
      </c>
      <c r="K26" t="s">
        <v>208</v>
      </c>
    </row>
    <row r="27" spans="6:11">
      <c r="F27" t="s">
        <v>78</v>
      </c>
      <c r="G27" t="s">
        <v>64</v>
      </c>
      <c r="H27" t="s">
        <v>32</v>
      </c>
      <c r="I27" t="s">
        <v>32</v>
      </c>
    </row>
    <row r="28" spans="6:11">
      <c r="F28" t="s">
        <v>78</v>
      </c>
      <c r="G28" t="s">
        <v>64</v>
      </c>
      <c r="H28" t="s">
        <v>33</v>
      </c>
      <c r="I28" t="s">
        <v>33</v>
      </c>
    </row>
    <row r="29" spans="6:11">
      <c r="F29" t="s">
        <v>78</v>
      </c>
      <c r="G29" t="s">
        <v>64</v>
      </c>
      <c r="H29" t="s">
        <v>34</v>
      </c>
      <c r="I29" t="s">
        <v>34</v>
      </c>
    </row>
    <row r="30" spans="6:11">
      <c r="F30" t="s">
        <v>78</v>
      </c>
      <c r="G30" t="s">
        <v>64</v>
      </c>
      <c r="H30" t="s">
        <v>35</v>
      </c>
      <c r="I30" t="s">
        <v>35</v>
      </c>
    </row>
    <row r="31" spans="6:11">
      <c r="F31" t="s">
        <v>78</v>
      </c>
      <c r="G31" t="s">
        <v>64</v>
      </c>
      <c r="H31" t="s">
        <v>36</v>
      </c>
      <c r="I31" t="s">
        <v>36</v>
      </c>
    </row>
    <row r="32" spans="6:11">
      <c r="F32" t="s">
        <v>78</v>
      </c>
      <c r="G32" t="s">
        <v>64</v>
      </c>
      <c r="H32" t="s">
        <v>37</v>
      </c>
      <c r="I32" t="s">
        <v>37</v>
      </c>
    </row>
    <row r="33" spans="6:11">
      <c r="F33" t="s">
        <v>78</v>
      </c>
      <c r="G33" t="s">
        <v>64</v>
      </c>
      <c r="H33" t="s">
        <v>38</v>
      </c>
      <c r="I33" t="s">
        <v>38</v>
      </c>
    </row>
    <row r="34" spans="6:11">
      <c r="F34" t="s">
        <v>78</v>
      </c>
      <c r="G34" t="s">
        <v>64</v>
      </c>
      <c r="H34" t="s">
        <v>39</v>
      </c>
      <c r="I34" t="s">
        <v>39</v>
      </c>
    </row>
    <row r="35" spans="6:11">
      <c r="F35" t="s">
        <v>78</v>
      </c>
      <c r="G35" t="s">
        <v>64</v>
      </c>
      <c r="H35" t="s">
        <v>40</v>
      </c>
      <c r="I35" t="s">
        <v>40</v>
      </c>
      <c r="J35" t="s">
        <v>225</v>
      </c>
      <c r="K35" t="s">
        <v>226</v>
      </c>
    </row>
    <row r="36" spans="6:11">
      <c r="K36" t="s">
        <v>224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DC215-A91B-4BB4-81D0-8048E89E6691}">
  <sheetPr codeName="Sheet4"/>
  <dimension ref="A1:M8"/>
  <sheetViews>
    <sheetView workbookViewId="0">
      <pane xSplit="3" topLeftCell="F1" activePane="topRight" state="frozen"/>
      <selection pane="topRight"/>
    </sheetView>
  </sheetViews>
  <sheetFormatPr defaultRowHeight="14.4"/>
  <cols>
    <col min="1" max="1" width="18.21875" customWidth="1"/>
    <col min="2" max="2" width="8.88671875" customWidth="1"/>
    <col min="3" max="3" width="8" customWidth="1"/>
    <col min="4" max="4" width="8.88671875" customWidth="1"/>
    <col min="5" max="5" width="89.44140625" bestFit="1" customWidth="1"/>
    <col min="6" max="6" width="86.88671875" bestFit="1" customWidth="1"/>
    <col min="7" max="8" width="13.88671875" bestFit="1" customWidth="1"/>
    <col min="9" max="9" width="8.5546875" customWidth="1"/>
  </cols>
  <sheetData>
    <row r="1" spans="1:13" ht="15" customHeight="1">
      <c r="A1" s="3"/>
      <c r="B1" s="3"/>
      <c r="C1" s="3"/>
      <c r="D1" s="3"/>
    </row>
    <row r="2" spans="1:13" ht="15" customHeight="1">
      <c r="A2" s="3"/>
      <c r="B2" s="3"/>
      <c r="C2" s="3"/>
      <c r="D2" s="3"/>
    </row>
    <row r="3" spans="1:13" ht="15" customHeight="1">
      <c r="A3" s="3"/>
      <c r="B3" s="3"/>
      <c r="C3" s="3"/>
      <c r="D3" s="3"/>
    </row>
    <row r="4" spans="1:13" ht="16.8">
      <c r="A4" s="4"/>
      <c r="B4" s="4"/>
      <c r="C4" s="4"/>
      <c r="D4" s="4"/>
    </row>
    <row r="6" spans="1:13">
      <c r="E6" t="s">
        <v>52</v>
      </c>
      <c r="F6" t="s">
        <v>53</v>
      </c>
      <c r="G6" t="s">
        <v>54</v>
      </c>
      <c r="H6" t="s">
        <v>55</v>
      </c>
      <c r="I6" t="s">
        <v>56</v>
      </c>
      <c r="J6" t="s">
        <v>57</v>
      </c>
      <c r="K6" t="s">
        <v>58</v>
      </c>
      <c r="L6" t="s">
        <v>59</v>
      </c>
      <c r="M6" t="s">
        <v>60</v>
      </c>
    </row>
    <row r="7" spans="1:13">
      <c r="E7" t="s">
        <v>183</v>
      </c>
      <c r="F7" s="1" t="s">
        <v>79</v>
      </c>
      <c r="G7" t="s">
        <v>64</v>
      </c>
      <c r="H7" t="s">
        <v>184</v>
      </c>
      <c r="I7" t="s">
        <v>201</v>
      </c>
      <c r="J7" t="s">
        <v>200</v>
      </c>
      <c r="K7" t="s">
        <v>65</v>
      </c>
      <c r="L7" t="s">
        <v>66</v>
      </c>
      <c r="M7" t="s">
        <v>67</v>
      </c>
    </row>
    <row r="8" spans="1:13">
      <c r="E8" t="s">
        <v>69</v>
      </c>
      <c r="F8" s="1" t="s">
        <v>70</v>
      </c>
      <c r="G8" t="s">
        <v>63</v>
      </c>
      <c r="H8" t="s">
        <v>71</v>
      </c>
      <c r="I8" t="s">
        <v>68</v>
      </c>
      <c r="J8" t="s">
        <v>72</v>
      </c>
      <c r="K8" t="s">
        <v>65</v>
      </c>
      <c r="L8" t="s">
        <v>66</v>
      </c>
      <c r="M8" t="s">
        <v>73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4EC85-7057-4D0F-8F84-4F3C0F084047}">
  <sheetPr codeName="Sheet5"/>
  <dimension ref="A1:L6"/>
  <sheetViews>
    <sheetView tabSelected="1" workbookViewId="0">
      <pane xSplit="3" topLeftCell="D1" activePane="topRight" state="frozen"/>
      <selection pane="topRight"/>
    </sheetView>
  </sheetViews>
  <sheetFormatPr defaultRowHeight="14.4"/>
  <cols>
    <col min="1" max="1" width="18.21875" customWidth="1"/>
    <col min="2" max="2" width="8.88671875" customWidth="1"/>
    <col min="3" max="3" width="8" customWidth="1"/>
    <col min="4" max="4" width="8.88671875" customWidth="1"/>
    <col min="5" max="5" width="13.33203125" bestFit="1" customWidth="1"/>
    <col min="6" max="6" width="11.77734375" bestFit="1" customWidth="1"/>
    <col min="7" max="7" width="15.77734375" bestFit="1" customWidth="1"/>
    <col min="8" max="8" width="17.77734375" bestFit="1" customWidth="1"/>
  </cols>
  <sheetData>
    <row r="1" spans="1:12" ht="15" customHeight="1">
      <c r="A1" s="3"/>
      <c r="B1" s="3"/>
      <c r="C1" s="3"/>
      <c r="D1" s="3"/>
    </row>
    <row r="2" spans="1:12" ht="15" customHeight="1">
      <c r="A2" s="3"/>
      <c r="B2" s="3"/>
      <c r="C2" s="3"/>
      <c r="D2" s="3"/>
    </row>
    <row r="3" spans="1:12" ht="15" customHeight="1">
      <c r="A3" s="3"/>
      <c r="B3" s="3"/>
      <c r="C3" s="3"/>
      <c r="D3" s="3"/>
    </row>
    <row r="4" spans="1:12" ht="15" customHeight="1">
      <c r="A4" s="4"/>
      <c r="B4" s="4"/>
      <c r="C4" s="4"/>
      <c r="D4" s="4"/>
    </row>
    <row r="6" spans="1:12">
      <c r="E6" t="s">
        <v>194</v>
      </c>
      <c r="F6" t="s">
        <v>195</v>
      </c>
      <c r="G6" t="s">
        <v>52</v>
      </c>
      <c r="H6" t="s">
        <v>54</v>
      </c>
      <c r="I6" t="s">
        <v>196</v>
      </c>
      <c r="J6" t="s">
        <v>197</v>
      </c>
      <c r="K6" t="s">
        <v>198</v>
      </c>
      <c r="L6" t="s">
        <v>199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6CFED-53F6-488B-83B3-022401CFBE6D}">
  <sheetPr codeName="Sheet6"/>
  <dimension ref="A1:G52"/>
  <sheetViews>
    <sheetView topLeftCell="A4" workbookViewId="0">
      <selection activeCell="G4" sqref="G4"/>
    </sheetView>
  </sheetViews>
  <sheetFormatPr defaultRowHeight="14.4"/>
  <cols>
    <col min="1" max="1" width="18.21875" bestFit="1" customWidth="1"/>
    <col min="2" max="2" width="18.21875" customWidth="1"/>
    <col min="3" max="3" width="13.33203125" bestFit="1" customWidth="1"/>
    <col min="4" max="4" width="10.77734375" bestFit="1" customWidth="1"/>
    <col min="7" max="7" width="18.21875" bestFit="1" customWidth="1"/>
    <col min="8" max="8" width="10.5546875" customWidth="1"/>
  </cols>
  <sheetData>
    <row r="1" spans="1:7">
      <c r="A1" t="s">
        <v>180</v>
      </c>
      <c r="B1" t="s">
        <v>181</v>
      </c>
      <c r="C1" t="s">
        <v>53</v>
      </c>
      <c r="D1" t="s">
        <v>187</v>
      </c>
      <c r="G1" t="s">
        <v>191</v>
      </c>
    </row>
    <row r="2" spans="1:7">
      <c r="A2" t="s">
        <v>74</v>
      </c>
      <c r="B2">
        <f>IF(A2=Dashboard!$E$8,1,0)</f>
        <v>0</v>
      </c>
      <c r="C2" t="s">
        <v>75</v>
      </c>
      <c r="D2" t="s">
        <v>173</v>
      </c>
      <c r="G2" t="s">
        <v>188</v>
      </c>
    </row>
    <row r="3" spans="1:7">
      <c r="A3" t="s">
        <v>76</v>
      </c>
      <c r="B3">
        <f>IF(A3=Dashboard!$E$8,1,0)</f>
        <v>0</v>
      </c>
      <c r="C3" t="s">
        <v>77</v>
      </c>
      <c r="D3" t="s">
        <v>173</v>
      </c>
      <c r="G3" t="s">
        <v>190</v>
      </c>
    </row>
    <row r="4" spans="1:7">
      <c r="A4" t="s">
        <v>61</v>
      </c>
      <c r="B4">
        <f>IF(A4=Dashboard!$E$8,1,0)</f>
        <v>0</v>
      </c>
      <c r="C4" t="s">
        <v>62</v>
      </c>
      <c r="D4" t="s">
        <v>173</v>
      </c>
      <c r="G4" t="s">
        <v>189</v>
      </c>
    </row>
    <row r="5" spans="1:7">
      <c r="A5" t="s">
        <v>78</v>
      </c>
      <c r="B5">
        <f>IF(A5=Dashboard!$E$8,1,0)</f>
        <v>1</v>
      </c>
      <c r="C5" t="s">
        <v>79</v>
      </c>
      <c r="D5" t="s">
        <v>173</v>
      </c>
    </row>
    <row r="6" spans="1:7">
      <c r="A6" t="s">
        <v>80</v>
      </c>
      <c r="B6">
        <f>IF(A6=Dashboard!$E$8,1,0)</f>
        <v>0</v>
      </c>
      <c r="C6" t="s">
        <v>81</v>
      </c>
      <c r="D6" t="s">
        <v>173</v>
      </c>
    </row>
    <row r="7" spans="1:7">
      <c r="A7" t="s">
        <v>82</v>
      </c>
      <c r="B7">
        <f>IF(A7=Dashboard!$E$8,1,0)</f>
        <v>0</v>
      </c>
      <c r="C7" t="s">
        <v>83</v>
      </c>
      <c r="D7" t="s">
        <v>173</v>
      </c>
    </row>
    <row r="8" spans="1:7">
      <c r="A8" t="s">
        <v>84</v>
      </c>
      <c r="B8">
        <f>IF(A8=Dashboard!$E$8,1,0)</f>
        <v>0</v>
      </c>
      <c r="C8" t="s">
        <v>85</v>
      </c>
      <c r="D8" t="s">
        <v>173</v>
      </c>
    </row>
    <row r="9" spans="1:7">
      <c r="A9" t="s">
        <v>86</v>
      </c>
      <c r="B9">
        <f>IF(A9=Dashboard!$E$8,1,0)</f>
        <v>0</v>
      </c>
      <c r="C9" t="s">
        <v>87</v>
      </c>
      <c r="D9" t="s">
        <v>173</v>
      </c>
    </row>
    <row r="10" spans="1:7">
      <c r="A10" t="s">
        <v>88</v>
      </c>
      <c r="B10">
        <f>IF(A10=Dashboard!$E$8,1,0)</f>
        <v>0</v>
      </c>
      <c r="C10" t="s">
        <v>89</v>
      </c>
      <c r="D10" t="s">
        <v>173</v>
      </c>
    </row>
    <row r="11" spans="1:7">
      <c r="A11" t="s">
        <v>90</v>
      </c>
      <c r="B11">
        <f>IF(A11=Dashboard!$E$8,1,0)</f>
        <v>0</v>
      </c>
      <c r="C11" t="s">
        <v>91</v>
      </c>
      <c r="D11" t="s">
        <v>173</v>
      </c>
    </row>
    <row r="12" spans="1:7">
      <c r="A12" t="s">
        <v>92</v>
      </c>
      <c r="B12">
        <f>IF(A12=Dashboard!$E$8,1,0)</f>
        <v>0</v>
      </c>
      <c r="C12" t="s">
        <v>93</v>
      </c>
      <c r="D12" t="s">
        <v>173</v>
      </c>
    </row>
    <row r="13" spans="1:7">
      <c r="A13" t="s">
        <v>94</v>
      </c>
      <c r="B13">
        <f>IF(A13=Dashboard!$E$8,1,0)</f>
        <v>0</v>
      </c>
      <c r="C13" t="s">
        <v>95</v>
      </c>
      <c r="D13" t="s">
        <v>173</v>
      </c>
    </row>
    <row r="14" spans="1:7">
      <c r="A14" t="s">
        <v>97</v>
      </c>
      <c r="B14">
        <f>IF(A14=Dashboard!$E$8,1,0)</f>
        <v>0</v>
      </c>
      <c r="C14" t="s">
        <v>96</v>
      </c>
      <c r="D14" t="s">
        <v>173</v>
      </c>
    </row>
    <row r="15" spans="1:7">
      <c r="A15" t="s">
        <v>98</v>
      </c>
      <c r="B15">
        <f>IF(A15=Dashboard!$E$8,1,0)</f>
        <v>0</v>
      </c>
      <c r="C15" t="s">
        <v>100</v>
      </c>
      <c r="D15" t="s">
        <v>173</v>
      </c>
    </row>
    <row r="16" spans="1:7">
      <c r="A16" t="s">
        <v>99</v>
      </c>
      <c r="B16">
        <f>IF(A16=Dashboard!$E$8,1,0)</f>
        <v>0</v>
      </c>
      <c r="C16" t="s">
        <v>101</v>
      </c>
      <c r="D16" t="s">
        <v>173</v>
      </c>
    </row>
    <row r="17" spans="1:4">
      <c r="A17" t="s">
        <v>102</v>
      </c>
      <c r="B17">
        <f>IF(A17=Dashboard!$E$8,1,0)</f>
        <v>0</v>
      </c>
      <c r="C17" t="s">
        <v>103</v>
      </c>
      <c r="D17" t="s">
        <v>173</v>
      </c>
    </row>
    <row r="18" spans="1:4">
      <c r="A18" t="s">
        <v>104</v>
      </c>
      <c r="B18">
        <f>IF(A18=Dashboard!$E$8,1,0)</f>
        <v>0</v>
      </c>
      <c r="C18" t="s">
        <v>105</v>
      </c>
      <c r="D18" t="s">
        <v>173</v>
      </c>
    </row>
    <row r="19" spans="1:4">
      <c r="A19" t="s">
        <v>106</v>
      </c>
      <c r="B19">
        <f>IF(A19=Dashboard!$E$8,1,0)</f>
        <v>0</v>
      </c>
      <c r="C19" t="s">
        <v>107</v>
      </c>
      <c r="D19" t="s">
        <v>173</v>
      </c>
    </row>
    <row r="20" spans="1:4">
      <c r="A20" t="s">
        <v>108</v>
      </c>
      <c r="B20">
        <f>IF(A20=Dashboard!$E$8,1,0)</f>
        <v>0</v>
      </c>
      <c r="C20" t="s">
        <v>109</v>
      </c>
      <c r="D20" t="s">
        <v>173</v>
      </c>
    </row>
    <row r="21" spans="1:4">
      <c r="A21" t="s">
        <v>110</v>
      </c>
      <c r="B21">
        <f>IF(A21=Dashboard!$E$8,1,0)</f>
        <v>0</v>
      </c>
      <c r="C21" t="s">
        <v>111</v>
      </c>
      <c r="D21" t="s">
        <v>173</v>
      </c>
    </row>
    <row r="22" spans="1:4">
      <c r="A22" t="s">
        <v>114</v>
      </c>
      <c r="B22">
        <f>IF(A22=Dashboard!$E$8,1,0)</f>
        <v>0</v>
      </c>
      <c r="C22" t="s">
        <v>112</v>
      </c>
      <c r="D22" t="s">
        <v>173</v>
      </c>
    </row>
    <row r="23" spans="1:4">
      <c r="A23" t="s">
        <v>113</v>
      </c>
      <c r="B23">
        <f>IF(A23=Dashboard!$E$8,1,0)</f>
        <v>0</v>
      </c>
      <c r="C23" t="s">
        <v>115</v>
      </c>
      <c r="D23" t="s">
        <v>173</v>
      </c>
    </row>
    <row r="24" spans="1:4">
      <c r="A24" t="s">
        <v>116</v>
      </c>
      <c r="B24">
        <f>IF(A24=Dashboard!$E$8,1,0)</f>
        <v>0</v>
      </c>
      <c r="C24" t="s">
        <v>117</v>
      </c>
      <c r="D24" t="s">
        <v>173</v>
      </c>
    </row>
    <row r="25" spans="1:4">
      <c r="A25" t="s">
        <v>118</v>
      </c>
      <c r="B25">
        <f>IF(A25=Dashboard!$E$8,1,0)</f>
        <v>0</v>
      </c>
      <c r="C25" t="s">
        <v>119</v>
      </c>
      <c r="D25" t="s">
        <v>173</v>
      </c>
    </row>
    <row r="26" spans="1:4">
      <c r="A26" t="s">
        <v>120</v>
      </c>
      <c r="B26">
        <f>IF(A26=Dashboard!$E$8,1,0)</f>
        <v>0</v>
      </c>
      <c r="C26" t="s">
        <v>121</v>
      </c>
      <c r="D26" t="s">
        <v>173</v>
      </c>
    </row>
    <row r="27" spans="1:4">
      <c r="A27" t="s">
        <v>122</v>
      </c>
      <c r="B27">
        <f>IF(A27=Dashboard!$E$8,1,0)</f>
        <v>0</v>
      </c>
      <c r="C27" t="s">
        <v>123</v>
      </c>
      <c r="D27" t="s">
        <v>173</v>
      </c>
    </row>
    <row r="28" spans="1:4">
      <c r="A28" t="s">
        <v>124</v>
      </c>
      <c r="B28">
        <f>IF(A28=Dashboard!$E$8,1,0)</f>
        <v>0</v>
      </c>
      <c r="C28" t="s">
        <v>125</v>
      </c>
      <c r="D28" t="s">
        <v>173</v>
      </c>
    </row>
    <row r="29" spans="1:4">
      <c r="A29" t="s">
        <v>126</v>
      </c>
      <c r="B29">
        <f>IF(A29=Dashboard!$E$8,1,0)</f>
        <v>0</v>
      </c>
      <c r="C29" t="s">
        <v>127</v>
      </c>
      <c r="D29" t="s">
        <v>173</v>
      </c>
    </row>
    <row r="30" spans="1:4">
      <c r="A30" t="s">
        <v>128</v>
      </c>
      <c r="B30">
        <f>IF(A30=Dashboard!$E$8,1,0)</f>
        <v>0</v>
      </c>
      <c r="C30" t="s">
        <v>129</v>
      </c>
      <c r="D30" t="s">
        <v>173</v>
      </c>
    </row>
    <row r="31" spans="1:4">
      <c r="A31" t="s">
        <v>130</v>
      </c>
      <c r="B31">
        <f>IF(A31=Dashboard!$E$8,1,0)</f>
        <v>0</v>
      </c>
      <c r="C31" t="s">
        <v>131</v>
      </c>
      <c r="D31" t="s">
        <v>173</v>
      </c>
    </row>
    <row r="32" spans="1:4">
      <c r="A32" t="s">
        <v>132</v>
      </c>
      <c r="B32">
        <f>IF(A32=Dashboard!$E$8,1,0)</f>
        <v>0</v>
      </c>
      <c r="C32" t="s">
        <v>133</v>
      </c>
      <c r="D32" t="s">
        <v>173</v>
      </c>
    </row>
    <row r="33" spans="1:4">
      <c r="A33" t="s">
        <v>134</v>
      </c>
      <c r="B33">
        <f>IF(A33=Dashboard!$E$8,1,0)</f>
        <v>0</v>
      </c>
      <c r="C33" t="s">
        <v>70</v>
      </c>
      <c r="D33" t="s">
        <v>63</v>
      </c>
    </row>
    <row r="34" spans="1:4">
      <c r="A34" t="s">
        <v>135</v>
      </c>
      <c r="B34">
        <f>IF(A34=Dashboard!$E$8,1,0)</f>
        <v>0</v>
      </c>
      <c r="C34" t="s">
        <v>136</v>
      </c>
      <c r="D34" t="s">
        <v>173</v>
      </c>
    </row>
    <row r="35" spans="1:4">
      <c r="A35" t="s">
        <v>137</v>
      </c>
      <c r="B35">
        <f>IF(A35=Dashboard!$E$8,1,0)</f>
        <v>0</v>
      </c>
      <c r="C35" t="s">
        <v>138</v>
      </c>
      <c r="D35" t="s">
        <v>173</v>
      </c>
    </row>
    <row r="36" spans="1:4">
      <c r="A36" t="s">
        <v>139</v>
      </c>
      <c r="B36">
        <f>IF(A36=Dashboard!$E$8,1,0)</f>
        <v>0</v>
      </c>
      <c r="C36" t="s">
        <v>140</v>
      </c>
      <c r="D36" t="s">
        <v>173</v>
      </c>
    </row>
    <row r="37" spans="1:4">
      <c r="A37" t="s">
        <v>141</v>
      </c>
      <c r="B37">
        <f>IF(A37=Dashboard!$E$8,1,0)</f>
        <v>0</v>
      </c>
      <c r="C37" t="s">
        <v>142</v>
      </c>
      <c r="D37" t="s">
        <v>173</v>
      </c>
    </row>
    <row r="38" spans="1:4">
      <c r="A38" t="s">
        <v>143</v>
      </c>
      <c r="B38">
        <f>IF(A38=Dashboard!$E$8,1,0)</f>
        <v>0</v>
      </c>
      <c r="C38" t="s">
        <v>144</v>
      </c>
      <c r="D38" t="s">
        <v>173</v>
      </c>
    </row>
    <row r="39" spans="1:4">
      <c r="A39" t="s">
        <v>145</v>
      </c>
      <c r="B39">
        <f>IF(A39=Dashboard!$E$8,1,0)</f>
        <v>0</v>
      </c>
      <c r="C39" t="s">
        <v>146</v>
      </c>
      <c r="D39" t="s">
        <v>173</v>
      </c>
    </row>
    <row r="40" spans="1:4">
      <c r="A40" t="s">
        <v>147</v>
      </c>
      <c r="B40">
        <f>IF(A40=Dashboard!$E$8,1,0)</f>
        <v>0</v>
      </c>
      <c r="C40" t="s">
        <v>148</v>
      </c>
      <c r="D40" t="s">
        <v>173</v>
      </c>
    </row>
    <row r="41" spans="1:4">
      <c r="A41" t="s">
        <v>149</v>
      </c>
      <c r="B41">
        <f>IF(A41=Dashboard!$E$8,1,0)</f>
        <v>0</v>
      </c>
      <c r="C41" t="s">
        <v>150</v>
      </c>
      <c r="D41" t="s">
        <v>173</v>
      </c>
    </row>
    <row r="42" spans="1:4">
      <c r="A42" t="s">
        <v>151</v>
      </c>
      <c r="B42">
        <f>IF(A42=Dashboard!$E$8,1,0)</f>
        <v>0</v>
      </c>
      <c r="C42" t="s">
        <v>152</v>
      </c>
      <c r="D42" t="s">
        <v>173</v>
      </c>
    </row>
    <row r="43" spans="1:4">
      <c r="A43" t="s">
        <v>153</v>
      </c>
      <c r="B43">
        <f>IF(A43=Dashboard!$E$8,1,0)</f>
        <v>0</v>
      </c>
      <c r="C43" t="s">
        <v>154</v>
      </c>
      <c r="D43" t="s">
        <v>173</v>
      </c>
    </row>
    <row r="44" spans="1:4">
      <c r="A44" t="s">
        <v>155</v>
      </c>
      <c r="B44">
        <f>IF(A44=Dashboard!$E$8,1,0)</f>
        <v>0</v>
      </c>
      <c r="C44" t="s">
        <v>156</v>
      </c>
      <c r="D44" t="s">
        <v>173</v>
      </c>
    </row>
    <row r="45" spans="1:4">
      <c r="A45" t="s">
        <v>157</v>
      </c>
      <c r="B45">
        <f>IF(A45=Dashboard!$E$8,1,0)</f>
        <v>0</v>
      </c>
      <c r="C45" t="s">
        <v>158</v>
      </c>
      <c r="D45" t="s">
        <v>173</v>
      </c>
    </row>
    <row r="46" spans="1:4">
      <c r="A46" t="s">
        <v>159</v>
      </c>
      <c r="B46">
        <f>IF(A46=Dashboard!$E$8,1,0)</f>
        <v>0</v>
      </c>
      <c r="C46" t="s">
        <v>160</v>
      </c>
      <c r="D46" t="s">
        <v>173</v>
      </c>
    </row>
    <row r="47" spans="1:4">
      <c r="A47" t="s">
        <v>161</v>
      </c>
      <c r="B47">
        <f>IF(A47=Dashboard!$E$8,1,0)</f>
        <v>0</v>
      </c>
      <c r="C47" t="s">
        <v>162</v>
      </c>
      <c r="D47" t="s">
        <v>173</v>
      </c>
    </row>
    <row r="48" spans="1:4">
      <c r="A48" t="s">
        <v>163</v>
      </c>
      <c r="B48">
        <f>IF(A48=Dashboard!$E$8,1,0)</f>
        <v>0</v>
      </c>
      <c r="C48" t="s">
        <v>164</v>
      </c>
      <c r="D48" t="s">
        <v>173</v>
      </c>
    </row>
    <row r="49" spans="1:4">
      <c r="A49" t="s">
        <v>165</v>
      </c>
      <c r="B49">
        <f>IF(A49=Dashboard!$E$8,1,0)</f>
        <v>0</v>
      </c>
      <c r="C49" t="s">
        <v>166</v>
      </c>
      <c r="D49" t="s">
        <v>173</v>
      </c>
    </row>
    <row r="50" spans="1:4">
      <c r="A50" t="s">
        <v>167</v>
      </c>
      <c r="B50">
        <f>IF(A50=Dashboard!$E$8,1,0)</f>
        <v>0</v>
      </c>
      <c r="C50" t="s">
        <v>168</v>
      </c>
      <c r="D50" t="s">
        <v>173</v>
      </c>
    </row>
    <row r="51" spans="1:4">
      <c r="A51" t="s">
        <v>169</v>
      </c>
      <c r="B51">
        <f>IF(A51=Dashboard!$E$8,1,0)</f>
        <v>0</v>
      </c>
      <c r="C51" t="s">
        <v>170</v>
      </c>
      <c r="D51" t="s">
        <v>173</v>
      </c>
    </row>
    <row r="52" spans="1:4">
      <c r="A52" t="s">
        <v>171</v>
      </c>
      <c r="B52">
        <f>IF(A52=Dashboard!$E$8,1,0)</f>
        <v>0</v>
      </c>
      <c r="C52" t="s">
        <v>172</v>
      </c>
      <c r="D52" t="s">
        <v>173</v>
      </c>
    </row>
  </sheetData>
  <pageMargins left="0.7" right="0.7" top="0.75" bottom="0.75" header="0.3" footer="0.3"/>
  <tableParts count="2">
    <tablePart r:id="rId1"/>
    <tablePart r:id="rId2"/>
  </tableParts>
</worksheet>
</file>

<file path=docMetadata/LabelInfo.xml><?xml version="1.0" encoding="utf-8"?>
<clbl:labelList xmlns:clbl="http://schemas.microsoft.com/office/2020/mipLabelMetadata">
  <clbl:label id="{2e8802e0-0b68-49d0-857f-46e74756f974}" enabled="0" method="" siteId="{2e8802e0-0b68-49d0-857f-46e74756f97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4</vt:i4>
      </vt:variant>
    </vt:vector>
  </HeadingPairs>
  <TitlesOfParts>
    <vt:vector size="11" baseType="lpstr">
      <vt:lpstr>Dashboard</vt:lpstr>
      <vt:lpstr>Entrada</vt:lpstr>
      <vt:lpstr>Data</vt:lpstr>
      <vt:lpstr>Map</vt:lpstr>
      <vt:lpstr>Config</vt:lpstr>
      <vt:lpstr>Log</vt:lpstr>
      <vt:lpstr>Hidden_Helper</vt:lpstr>
      <vt:lpstr>Chart10</vt:lpstr>
      <vt:lpstr>Chart9</vt:lpstr>
      <vt:lpstr>Chart4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Betancur</dc:creator>
  <cp:lastModifiedBy>Santiago Betancur</cp:lastModifiedBy>
  <dcterms:created xsi:type="dcterms:W3CDTF">2015-06-05T18:17:20Z</dcterms:created>
  <dcterms:modified xsi:type="dcterms:W3CDTF">2026-04-17T01:03:41Z</dcterms:modified>
</cp:coreProperties>
</file>